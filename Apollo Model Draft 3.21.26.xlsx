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molt/Desktop/"/>
    </mc:Choice>
  </mc:AlternateContent>
  <xr:revisionPtr revIDLastSave="0" documentId="13_ncr:1_{65D1BB03-9F09-9446-8CF2-DF9266E0208C}" xr6:coauthVersionLast="47" xr6:coauthVersionMax="47" xr10:uidLastSave="{00000000-0000-0000-0000-000000000000}"/>
  <bookViews>
    <workbookView xWindow="0" yWindow="0" windowWidth="76800" windowHeight="43200" tabRatio="500" activeTab="2" xr2:uid="{00000000-000D-0000-FFFF-FFFF00000000}"/>
  </bookViews>
  <sheets>
    <sheet name="Cover Page" sheetId="1" r:id="rId1"/>
    <sheet name="Assumptions" sheetId="2" r:id="rId2"/>
    <sheet name="Control Panel" sheetId="3" r:id="rId3"/>
    <sheet name="Revenue Build" sheetId="4" r:id="rId4"/>
    <sheet name="Income Statement" sheetId="5" r:id="rId5"/>
    <sheet name="Balance Sheet" sheetId="6" r:id="rId6"/>
    <sheet name="Cash Flow" sheetId="7" r:id="rId7"/>
    <sheet name="Debt Schedule" sheetId="8" r:id="rId8"/>
    <sheet name="DCF &amp; Returns" sheetId="9" r:id="rId9"/>
  </sheets>
  <definedNames>
    <definedName name="_xlnm.Print_Area" localSheetId="1">Assumptions!$A$1:$O$174</definedName>
    <definedName name="_xlnm.Print_Area" localSheetId="5">'Balance Sheet'!$A$1:$R$51</definedName>
    <definedName name="_xlnm.Print_Area" localSheetId="6">'Cash Flow'!$A$1:$R$39</definedName>
    <definedName name="_xlnm.Print_Area" localSheetId="2">'Control Panel'!$A$1:$I$43</definedName>
    <definedName name="_xlnm.Print_Area" localSheetId="0">'Cover Page'!$A$1:$G$77</definedName>
    <definedName name="_xlnm.Print_Area" localSheetId="8">'DCF &amp; Returns'!$A$1:$K$161</definedName>
    <definedName name="_xlnm.Print_Area" localSheetId="7">'Debt Schedule'!$A$1:$R$89</definedName>
    <definedName name="_xlnm.Print_Area" localSheetId="4">'Income Statement'!$A$1:$R$32</definedName>
    <definedName name="_xlnm.Print_Area" localSheetId="3">'Revenue Build'!$A$1:$R$25</definedName>
  </definedNames>
  <calcPr calcId="191029" iterate="1" iterateCount="25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9" l="1"/>
  <c r="B50" i="9"/>
  <c r="L147" i="9" s="1"/>
  <c r="C102" i="8"/>
  <c r="B102" i="8"/>
  <c r="K60" i="8"/>
  <c r="K53" i="8"/>
  <c r="E41" i="8"/>
  <c r="D41" i="8"/>
  <c r="C41" i="8"/>
  <c r="B41" i="8"/>
  <c r="E40" i="8"/>
  <c r="D40" i="8"/>
  <c r="C40" i="8"/>
  <c r="B40" i="8"/>
  <c r="F39" i="8"/>
  <c r="E35" i="8"/>
  <c r="D35" i="8"/>
  <c r="C35" i="8"/>
  <c r="B35" i="8"/>
  <c r="E34" i="8"/>
  <c r="D34" i="8"/>
  <c r="C34" i="8"/>
  <c r="B34" i="8"/>
  <c r="F33" i="8"/>
  <c r="N28" i="8"/>
  <c r="B25" i="8"/>
  <c r="B20" i="8"/>
  <c r="B19" i="8"/>
  <c r="B21" i="8" s="1"/>
  <c r="B11" i="8"/>
  <c r="B13" i="8" s="1"/>
  <c r="B5" i="8"/>
  <c r="B6" i="8" s="1"/>
  <c r="N28" i="7"/>
  <c r="F27" i="7"/>
  <c r="N27" i="7" s="1"/>
  <c r="B26" i="7"/>
  <c r="N26" i="7" s="1"/>
  <c r="B25" i="7"/>
  <c r="N25" i="7" s="1"/>
  <c r="N21" i="7"/>
  <c r="N23" i="5"/>
  <c r="M9" i="4"/>
  <c r="M18" i="4" s="1"/>
  <c r="L9" i="4"/>
  <c r="L18" i="4" s="1"/>
  <c r="K9" i="4"/>
  <c r="K18" i="4" s="1"/>
  <c r="J9" i="4"/>
  <c r="J18" i="4" s="1"/>
  <c r="I9" i="4"/>
  <c r="I18" i="4" s="1"/>
  <c r="H9" i="4"/>
  <c r="H18" i="4" s="1"/>
  <c r="G9" i="4"/>
  <c r="G18" i="4" s="1"/>
  <c r="F9" i="4"/>
  <c r="F18" i="4" s="1"/>
  <c r="E9" i="4"/>
  <c r="E18" i="4" s="1"/>
  <c r="D9" i="4"/>
  <c r="D18" i="4" s="1"/>
  <c r="C9" i="4"/>
  <c r="C18" i="4" s="1"/>
  <c r="B9" i="4"/>
  <c r="B18" i="4" s="1"/>
  <c r="I34" i="3"/>
  <c r="H34" i="3"/>
  <c r="G34" i="3"/>
  <c r="F34" i="3"/>
  <c r="E34" i="3"/>
  <c r="I33" i="3"/>
  <c r="H33" i="3"/>
  <c r="G33" i="3"/>
  <c r="F33" i="3"/>
  <c r="E33" i="3"/>
  <c r="I32" i="3"/>
  <c r="H32" i="3"/>
  <c r="G32" i="3"/>
  <c r="F32" i="3"/>
  <c r="E32" i="3"/>
  <c r="I31" i="3"/>
  <c r="H31" i="3"/>
  <c r="G31" i="3"/>
  <c r="F31" i="3"/>
  <c r="E31" i="3"/>
  <c r="I30" i="3"/>
  <c r="H30" i="3"/>
  <c r="G30" i="3"/>
  <c r="F30" i="3"/>
  <c r="E30" i="3"/>
  <c r="I29" i="3"/>
  <c r="H29" i="3"/>
  <c r="G29" i="3"/>
  <c r="F29" i="3"/>
  <c r="E29" i="3"/>
  <c r="I28" i="3"/>
  <c r="H28" i="3"/>
  <c r="G28" i="3"/>
  <c r="F28" i="3"/>
  <c r="E28" i="3"/>
  <c r="I27" i="3"/>
  <c r="H27" i="3"/>
  <c r="G27" i="3"/>
  <c r="F27" i="3"/>
  <c r="E27" i="3"/>
  <c r="I25" i="3"/>
  <c r="H25" i="3"/>
  <c r="G25" i="3"/>
  <c r="F25" i="3"/>
  <c r="E25" i="3"/>
  <c r="I24" i="3"/>
  <c r="H24" i="3"/>
  <c r="G24" i="3"/>
  <c r="F24" i="3"/>
  <c r="E24" i="3"/>
  <c r="I23" i="3"/>
  <c r="H23" i="3"/>
  <c r="G23" i="3"/>
  <c r="F23" i="3"/>
  <c r="E23" i="3"/>
  <c r="I22" i="3"/>
  <c r="H22" i="3"/>
  <c r="G22" i="3"/>
  <c r="F22" i="3"/>
  <c r="E22" i="3"/>
  <c r="I21" i="3"/>
  <c r="H21" i="3"/>
  <c r="G21" i="3"/>
  <c r="F21" i="3"/>
  <c r="E21" i="3"/>
  <c r="I20" i="3"/>
  <c r="H20" i="3"/>
  <c r="G20" i="3"/>
  <c r="F20" i="3"/>
  <c r="E20" i="3"/>
  <c r="I19" i="3"/>
  <c r="H19" i="3"/>
  <c r="G19" i="3"/>
  <c r="F19" i="3"/>
  <c r="E19" i="3"/>
  <c r="I18" i="3"/>
  <c r="H18" i="3"/>
  <c r="G18" i="3"/>
  <c r="F18" i="3"/>
  <c r="E18" i="3"/>
  <c r="I17" i="3"/>
  <c r="H17" i="3"/>
  <c r="G17" i="3"/>
  <c r="F17" i="3"/>
  <c r="E17" i="3"/>
  <c r="I16" i="3"/>
  <c r="H16" i="3"/>
  <c r="G16" i="3"/>
  <c r="F16" i="3"/>
  <c r="E16" i="3"/>
  <c r="I15" i="3"/>
  <c r="H15" i="3"/>
  <c r="G15" i="3"/>
  <c r="F15" i="3"/>
  <c r="E15" i="3"/>
  <c r="I14" i="3"/>
  <c r="H14" i="3"/>
  <c r="G14" i="3"/>
  <c r="F14" i="3"/>
  <c r="E14" i="3"/>
  <c r="I13" i="3"/>
  <c r="H13" i="3"/>
  <c r="G13" i="3"/>
  <c r="F13" i="3"/>
  <c r="E13" i="3"/>
  <c r="F196" i="2"/>
  <c r="B183" i="2"/>
  <c r="G99" i="2" s="1"/>
  <c r="B182" i="2"/>
  <c r="G223" i="2" s="1"/>
  <c r="G42" i="2" s="1"/>
  <c r="G157" i="2"/>
  <c r="C25" i="3" s="1"/>
  <c r="B136" i="2"/>
  <c r="B129" i="2"/>
  <c r="N122" i="2"/>
  <c r="M122" i="2"/>
  <c r="L122" i="2"/>
  <c r="K122" i="2"/>
  <c r="J122" i="2"/>
  <c r="H122" i="2"/>
  <c r="G122" i="2"/>
  <c r="F122" i="2"/>
  <c r="E122" i="2"/>
  <c r="D122" i="2"/>
  <c r="C122" i="2"/>
  <c r="B122" i="2"/>
  <c r="O121" i="2"/>
  <c r="O120" i="2"/>
  <c r="O119" i="2"/>
  <c r="O118" i="2"/>
  <c r="O117" i="2"/>
  <c r="N114" i="2"/>
  <c r="M114" i="2"/>
  <c r="L114" i="2"/>
  <c r="K114" i="2"/>
  <c r="J114" i="2"/>
  <c r="H114" i="2"/>
  <c r="G114" i="2"/>
  <c r="F114" i="2"/>
  <c r="E114" i="2"/>
  <c r="D114" i="2"/>
  <c r="C114" i="2"/>
  <c r="B114" i="2"/>
  <c r="O112" i="2"/>
  <c r="O111" i="2"/>
  <c r="O110" i="2"/>
  <c r="O109" i="2"/>
  <c r="O108" i="2"/>
  <c r="B94" i="2"/>
  <c r="F93" i="2"/>
  <c r="K59" i="8" s="1"/>
  <c r="F92" i="2"/>
  <c r="F90" i="2"/>
  <c r="F89" i="2"/>
  <c r="F86" i="2"/>
  <c r="B86" i="2"/>
  <c r="B36" i="6" s="1"/>
  <c r="B37" i="6" s="1"/>
  <c r="B81" i="2"/>
  <c r="B51" i="9" s="1"/>
  <c r="F80" i="2"/>
  <c r="F78" i="2"/>
  <c r="B71" i="2"/>
  <c r="G69" i="2"/>
  <c r="F69" i="2"/>
  <c r="E69" i="2"/>
  <c r="D69" i="2"/>
  <c r="C69" i="2"/>
  <c r="B50" i="2"/>
  <c r="B58" i="2" s="1"/>
  <c r="D40" i="2"/>
  <c r="F39" i="2"/>
  <c r="B29" i="2"/>
  <c r="B43" i="2" s="1"/>
  <c r="B141" i="2" s="1"/>
  <c r="H27" i="2"/>
  <c r="H26" i="2"/>
  <c r="H24" i="2"/>
  <c r="H23" i="2"/>
  <c r="E43" i="1"/>
  <c r="E41" i="1"/>
  <c r="E10" i="1"/>
  <c r="D10" i="1"/>
  <c r="E9" i="1"/>
  <c r="B31" i="6"/>
  <c r="C31" i="6" s="1"/>
  <c r="B23" i="6"/>
  <c r="C23" i="6" s="1"/>
  <c r="B13" i="7" s="1"/>
  <c r="L21" i="6"/>
  <c r="M21" i="6" s="1"/>
  <c r="N21" i="6" s="1"/>
  <c r="O21" i="6" s="1"/>
  <c r="P21" i="6" s="1"/>
  <c r="Q21" i="6" s="1"/>
  <c r="R21" i="6" s="1"/>
  <c r="N20" i="6"/>
  <c r="O20" i="6" s="1"/>
  <c r="P20" i="6" s="1"/>
  <c r="Q20" i="6" s="1"/>
  <c r="R20" i="6" s="1"/>
  <c r="L20" i="6"/>
  <c r="M20" i="6" s="1"/>
  <c r="N19" i="6"/>
  <c r="O19" i="6" s="1"/>
  <c r="P19" i="6" s="1"/>
  <c r="Q19" i="6" s="1"/>
  <c r="R19" i="6" s="1"/>
  <c r="L19" i="6"/>
  <c r="M19" i="6" s="1"/>
  <c r="N18" i="6"/>
  <c r="O18" i="6" s="1"/>
  <c r="P18" i="6" s="1"/>
  <c r="Q18" i="6" s="1"/>
  <c r="R18" i="6" s="1"/>
  <c r="L18" i="6"/>
  <c r="M18" i="6" s="1"/>
  <c r="N17" i="6"/>
  <c r="O17" i="6" s="1"/>
  <c r="P17" i="6" s="1"/>
  <c r="Q17" i="6" s="1"/>
  <c r="R17" i="6" s="1"/>
  <c r="L17" i="6"/>
  <c r="M17" i="6" s="1"/>
  <c r="L16" i="6"/>
  <c r="M16" i="6" s="1"/>
  <c r="B14" i="6"/>
  <c r="B13" i="6"/>
  <c r="B9" i="6"/>
  <c r="M9" i="6" s="1"/>
  <c r="B6" i="6"/>
  <c r="B5" i="6"/>
  <c r="B35" i="7" s="1"/>
  <c r="N35" i="7" s="1"/>
  <c r="E36" i="8" l="1"/>
  <c r="E37" i="8" s="1"/>
  <c r="G101" i="2"/>
  <c r="G226" i="2"/>
  <c r="C30" i="3" s="1"/>
  <c r="B36" i="8"/>
  <c r="B37" i="8" s="1"/>
  <c r="D42" i="8"/>
  <c r="D43" i="8" s="1"/>
  <c r="E42" i="8"/>
  <c r="E43" i="8" s="1"/>
  <c r="L118" i="9"/>
  <c r="L120" i="9"/>
  <c r="L126" i="9"/>
  <c r="L134" i="9"/>
  <c r="L135" i="9"/>
  <c r="L136" i="9"/>
  <c r="L108" i="9"/>
  <c r="L137" i="9"/>
  <c r="L109" i="9"/>
  <c r="L138" i="9"/>
  <c r="L9" i="6"/>
  <c r="L12" i="7" s="1"/>
  <c r="L114" i="9"/>
  <c r="L139" i="9"/>
  <c r="L115" i="9"/>
  <c r="L143" i="9"/>
  <c r="B11" i="7"/>
  <c r="D31" i="6"/>
  <c r="C11" i="7" s="1"/>
  <c r="G162" i="2"/>
  <c r="G227" i="2"/>
  <c r="C31" i="3" s="1"/>
  <c r="F41" i="2"/>
  <c r="G163" i="2"/>
  <c r="G187" i="2"/>
  <c r="C38" i="3" s="1"/>
  <c r="G41" i="2"/>
  <c r="G164" i="2"/>
  <c r="G188" i="2"/>
  <c r="C39" i="3" s="1"/>
  <c r="B22" i="8"/>
  <c r="B23" i="8" s="1"/>
  <c r="C19" i="8" s="1"/>
  <c r="C21" i="8" s="1"/>
  <c r="G172" i="2"/>
  <c r="M7" i="4" s="1"/>
  <c r="G190" i="2"/>
  <c r="G38" i="2"/>
  <c r="C78" i="2"/>
  <c r="G173" i="2"/>
  <c r="I8" i="4" s="1"/>
  <c r="G191" i="2"/>
  <c r="C41" i="3" s="1"/>
  <c r="L123" i="9"/>
  <c r="L140" i="9"/>
  <c r="E38" i="1"/>
  <c r="D39" i="2"/>
  <c r="F40" i="2"/>
  <c r="E39" i="1"/>
  <c r="E55" i="2"/>
  <c r="P13" i="5" s="1"/>
  <c r="C79" i="2"/>
  <c r="G158" i="2"/>
  <c r="C19" i="3" s="1"/>
  <c r="G177" i="2"/>
  <c r="G224" i="2"/>
  <c r="G53" i="2" s="1"/>
  <c r="R11" i="5" s="1"/>
  <c r="L103" i="9"/>
  <c r="L128" i="9"/>
  <c r="L146" i="9"/>
  <c r="E40" i="2"/>
  <c r="G161" i="2"/>
  <c r="C20" i="3" s="1"/>
  <c r="G170" i="2"/>
  <c r="G189" i="2"/>
  <c r="C40" i="3" s="1"/>
  <c r="G174" i="2"/>
  <c r="J6" i="4" s="1"/>
  <c r="C80" i="2"/>
  <c r="G100" i="2"/>
  <c r="G82" i="8" s="1"/>
  <c r="G160" i="2"/>
  <c r="C22" i="3" s="1"/>
  <c r="G178" i="2"/>
  <c r="G225" i="2"/>
  <c r="E54" i="2" s="1"/>
  <c r="P12" i="5" s="1"/>
  <c r="B7" i="8"/>
  <c r="B8" i="8" s="1"/>
  <c r="B9" i="8" s="1"/>
  <c r="C5" i="8" s="1"/>
  <c r="L104" i="9"/>
  <c r="L133" i="9"/>
  <c r="L148" i="9"/>
  <c r="D9" i="6"/>
  <c r="E9" i="6"/>
  <c r="B35" i="2"/>
  <c r="I9" i="6"/>
  <c r="F9" i="6"/>
  <c r="C9" i="6"/>
  <c r="B12" i="7" s="1"/>
  <c r="K9" i="6"/>
  <c r="B59" i="2"/>
  <c r="B130" i="2"/>
  <c r="B8" i="6" s="1"/>
  <c r="D23" i="6"/>
  <c r="B15" i="6"/>
  <c r="B24" i="6" s="1"/>
  <c r="K52" i="8"/>
  <c r="F94" i="2"/>
  <c r="B30" i="6"/>
  <c r="B33" i="6" s="1"/>
  <c r="B39" i="6" s="1"/>
  <c r="B7" i="6"/>
  <c r="G9" i="6"/>
  <c r="Q85" i="8"/>
  <c r="G85" i="8"/>
  <c r="P85" i="8"/>
  <c r="E85" i="8"/>
  <c r="O85" i="8"/>
  <c r="D85" i="8"/>
  <c r="N85" i="8"/>
  <c r="C85" i="8"/>
  <c r="R85" i="8"/>
  <c r="F85" i="8"/>
  <c r="I85" i="8"/>
  <c r="H85" i="8"/>
  <c r="B85" i="8"/>
  <c r="J85" i="8"/>
  <c r="M85" i="8"/>
  <c r="L85" i="8"/>
  <c r="K85" i="8"/>
  <c r="H9" i="6"/>
  <c r="J9" i="6"/>
  <c r="F42" i="2"/>
  <c r="E42" i="2"/>
  <c r="G39" i="2"/>
  <c r="C27" i="3"/>
  <c r="F38" i="2"/>
  <c r="E41" i="2"/>
  <c r="C85" i="2"/>
  <c r="C84" i="2"/>
  <c r="E39" i="2"/>
  <c r="D42" i="2"/>
  <c r="N18" i="4"/>
  <c r="O114" i="2"/>
  <c r="K61" i="8"/>
  <c r="D38" i="2"/>
  <c r="G40" i="2"/>
  <c r="K79" i="8"/>
  <c r="M79" i="8"/>
  <c r="B79" i="8"/>
  <c r="L79" i="8"/>
  <c r="J79" i="8"/>
  <c r="N79" i="8"/>
  <c r="C79" i="8"/>
  <c r="G79" i="8"/>
  <c r="F79" i="8"/>
  <c r="E79" i="8"/>
  <c r="H79" i="8"/>
  <c r="D79" i="8"/>
  <c r="I79" i="8"/>
  <c r="P79" i="8"/>
  <c r="O79" i="8"/>
  <c r="Q79" i="8"/>
  <c r="R79" i="8"/>
  <c r="E38" i="2"/>
  <c r="D41" i="2"/>
  <c r="C55" i="2"/>
  <c r="B143" i="2"/>
  <c r="B146" i="2" s="1"/>
  <c r="G167" i="2"/>
  <c r="C24" i="3" s="1"/>
  <c r="G181" i="2"/>
  <c r="F34" i="8"/>
  <c r="F35" i="8"/>
  <c r="G159" i="2"/>
  <c r="G171" i="2"/>
  <c r="G228" i="2"/>
  <c r="N9" i="4"/>
  <c r="O9" i="4" s="1"/>
  <c r="G98" i="2"/>
  <c r="G165" i="2"/>
  <c r="G179" i="2"/>
  <c r="G192" i="2"/>
  <c r="C42" i="3" s="1"/>
  <c r="G229" i="2"/>
  <c r="G166" i="2"/>
  <c r="G180" i="2"/>
  <c r="G230" i="2"/>
  <c r="C34" i="3" s="1"/>
  <c r="B29" i="8"/>
  <c r="C25" i="8" s="1"/>
  <c r="B26" i="8"/>
  <c r="C36" i="8"/>
  <c r="C37" i="8" s="1"/>
  <c r="C20" i="8"/>
  <c r="F40" i="8"/>
  <c r="F41" i="8"/>
  <c r="B12" i="8"/>
  <c r="B42" i="8"/>
  <c r="C42" i="8"/>
  <c r="C43" i="8" s="1"/>
  <c r="D36" i="8"/>
  <c r="D37" i="8" s="1"/>
  <c r="L107" i="9"/>
  <c r="L117" i="9"/>
  <c r="L125" i="9"/>
  <c r="L130" i="9"/>
  <c r="L144" i="9"/>
  <c r="L149" i="9"/>
  <c r="L105" i="9"/>
  <c r="L110" i="9"/>
  <c r="L119" i="9"/>
  <c r="L124" i="9"/>
  <c r="L129" i="9"/>
  <c r="L145" i="9"/>
  <c r="L150" i="9"/>
  <c r="B52" i="9"/>
  <c r="L116" i="9"/>
  <c r="L106" i="9"/>
  <c r="L113" i="9"/>
  <c r="L127" i="9"/>
  <c r="G55" i="2" l="1"/>
  <c r="R13" i="5" s="1"/>
  <c r="E7" i="4"/>
  <c r="K7" i="4"/>
  <c r="L7" i="6" s="1"/>
  <c r="L7" i="4"/>
  <c r="L16" i="4" s="1"/>
  <c r="D55" i="2"/>
  <c r="O13" i="5" s="1"/>
  <c r="D7" i="4"/>
  <c r="D16" i="4" s="1"/>
  <c r="F55" i="2"/>
  <c r="Q13" i="5" s="1"/>
  <c r="E31" i="6"/>
  <c r="D11" i="7" s="1"/>
  <c r="G8" i="4"/>
  <c r="G17" i="4" s="1"/>
  <c r="C7" i="4"/>
  <c r="D7" i="6" s="1"/>
  <c r="B8" i="4"/>
  <c r="B17" i="4" s="1"/>
  <c r="R8" i="4"/>
  <c r="R17" i="4" s="1"/>
  <c r="M8" i="4"/>
  <c r="M17" i="4" s="1"/>
  <c r="D8" i="4"/>
  <c r="D17" i="4" s="1"/>
  <c r="L8" i="4"/>
  <c r="L17" i="4" s="1"/>
  <c r="D54" i="2"/>
  <c r="O12" i="5" s="1"/>
  <c r="O7" i="4"/>
  <c r="O16" i="4" s="1"/>
  <c r="K8" i="4"/>
  <c r="K17" i="4" s="1"/>
  <c r="J8" i="4"/>
  <c r="J17" i="4" s="1"/>
  <c r="H4" i="4"/>
  <c r="H13" i="4" s="1"/>
  <c r="C4" i="4"/>
  <c r="C13" i="4" s="1"/>
  <c r="I4" i="4"/>
  <c r="F7" i="4"/>
  <c r="F16" i="4" s="1"/>
  <c r="F82" i="8"/>
  <c r="G6" i="4"/>
  <c r="G15" i="4" s="1"/>
  <c r="G54" i="2"/>
  <c r="R12" i="5" s="1"/>
  <c r="Q6" i="4"/>
  <c r="Q15" i="4" s="1"/>
  <c r="B45" i="8"/>
  <c r="B48" i="8" s="1"/>
  <c r="C53" i="2"/>
  <c r="I12" i="7"/>
  <c r="G12" i="7"/>
  <c r="D53" i="2"/>
  <c r="O11" i="5" s="1"/>
  <c r="B201" i="2"/>
  <c r="G198" i="2" s="1"/>
  <c r="C13" i="3"/>
  <c r="O8" i="4"/>
  <c r="O17" i="4" s="1"/>
  <c r="C29" i="3"/>
  <c r="F4" i="4"/>
  <c r="F13" i="4" s="1"/>
  <c r="K12" i="7"/>
  <c r="E8" i="4"/>
  <c r="E17" i="4" s="1"/>
  <c r="F54" i="2"/>
  <c r="Q12" i="5" s="1"/>
  <c r="E53" i="2"/>
  <c r="P11" i="5" s="1"/>
  <c r="C17" i="3"/>
  <c r="F8" i="4"/>
  <c r="F17" i="4" s="1"/>
  <c r="C54" i="2"/>
  <c r="E4" i="4"/>
  <c r="E13" i="4" s="1"/>
  <c r="H82" i="8"/>
  <c r="P4" i="4"/>
  <c r="P13" i="4" s="1"/>
  <c r="R82" i="8"/>
  <c r="P7" i="4"/>
  <c r="P7" i="6" s="1"/>
  <c r="N82" i="8"/>
  <c r="B17" i="2"/>
  <c r="C28" i="3"/>
  <c r="O4" i="4"/>
  <c r="L4" i="4"/>
  <c r="L13" i="4" s="1"/>
  <c r="H8" i="4"/>
  <c r="H17" i="4" s="1"/>
  <c r="K82" i="8"/>
  <c r="O6" i="4"/>
  <c r="O15" i="4" s="1"/>
  <c r="E12" i="7"/>
  <c r="Q7" i="4"/>
  <c r="Q16" i="4" s="1"/>
  <c r="M82" i="8"/>
  <c r="C82" i="8"/>
  <c r="P6" i="4"/>
  <c r="P15" i="4" s="1"/>
  <c r="I17" i="4"/>
  <c r="O82" i="8"/>
  <c r="P82" i="8"/>
  <c r="I82" i="8"/>
  <c r="D4" i="4"/>
  <c r="D13" i="4" s="1"/>
  <c r="G4" i="4"/>
  <c r="G13" i="4" s="1"/>
  <c r="Q82" i="8"/>
  <c r="D82" i="8"/>
  <c r="E82" i="8"/>
  <c r="L82" i="8"/>
  <c r="J82" i="8"/>
  <c r="B82" i="8"/>
  <c r="J4" i="4"/>
  <c r="J13" i="4" s="1"/>
  <c r="R4" i="4"/>
  <c r="R13" i="4" s="1"/>
  <c r="K4" i="4"/>
  <c r="K13" i="4" s="1"/>
  <c r="B132" i="2"/>
  <c r="B138" i="2" s="1"/>
  <c r="H6" i="4"/>
  <c r="H15" i="4" s="1"/>
  <c r="C6" i="4"/>
  <c r="C15" i="4" s="1"/>
  <c r="B7" i="4"/>
  <c r="B16" i="4" s="1"/>
  <c r="G7" i="4"/>
  <c r="H7" i="6" s="1"/>
  <c r="C18" i="3"/>
  <c r="J15" i="4"/>
  <c r="R7" i="4"/>
  <c r="R16" i="4" s="1"/>
  <c r="F53" i="2"/>
  <c r="Q11" i="5" s="1"/>
  <c r="R6" i="4"/>
  <c r="R15" i="4" s="1"/>
  <c r="C15" i="3"/>
  <c r="Q4" i="4"/>
  <c r="Q13" i="4" s="1"/>
  <c r="F6" i="4"/>
  <c r="F15" i="4" s="1"/>
  <c r="D6" i="4"/>
  <c r="D15" i="4" s="1"/>
  <c r="D12" i="7"/>
  <c r="Q8" i="4"/>
  <c r="Q17" i="4" s="1"/>
  <c r="P8" i="4"/>
  <c r="P17" i="4" s="1"/>
  <c r="C8" i="4"/>
  <c r="C17" i="4" s="1"/>
  <c r="C81" i="2"/>
  <c r="I6" i="4"/>
  <c r="I15" i="4" s="1"/>
  <c r="B6" i="4"/>
  <c r="B15" i="4" s="1"/>
  <c r="K6" i="4"/>
  <c r="K15" i="4" s="1"/>
  <c r="L6" i="4"/>
  <c r="L15" i="4" s="1"/>
  <c r="H7" i="4"/>
  <c r="I7" i="6" s="1"/>
  <c r="C16" i="3"/>
  <c r="J7" i="4"/>
  <c r="K7" i="6" s="1"/>
  <c r="I7" i="4"/>
  <c r="J7" i="6" s="1"/>
  <c r="M4" i="4"/>
  <c r="M13" i="4" s="1"/>
  <c r="E6" i="4"/>
  <c r="E15" i="4" s="1"/>
  <c r="M6" i="4"/>
  <c r="M15" i="4" s="1"/>
  <c r="B4" i="4"/>
  <c r="B13" i="4" s="1"/>
  <c r="C22" i="8"/>
  <c r="D20" i="8"/>
  <c r="F36" i="8"/>
  <c r="J12" i="7"/>
  <c r="C13" i="7"/>
  <c r="E23" i="6"/>
  <c r="E49" i="2"/>
  <c r="E47" i="2"/>
  <c r="D49" i="2"/>
  <c r="D47" i="2"/>
  <c r="C49" i="2"/>
  <c r="G48" i="2"/>
  <c r="C33" i="3"/>
  <c r="F48" i="2"/>
  <c r="G47" i="2"/>
  <c r="F49" i="2"/>
  <c r="C48" i="2"/>
  <c r="F47" i="2"/>
  <c r="G49" i="2"/>
  <c r="C47" i="2"/>
  <c r="E48" i="2"/>
  <c r="D48" i="2"/>
  <c r="B14" i="8"/>
  <c r="M16" i="4"/>
  <c r="N7" i="6"/>
  <c r="B43" i="8"/>
  <c r="E16" i="4"/>
  <c r="F7" i="6"/>
  <c r="H12" i="7"/>
  <c r="K16" i="4"/>
  <c r="A96" i="9"/>
  <c r="A88" i="9"/>
  <c r="A83" i="9"/>
  <c r="A75" i="9"/>
  <c r="A70" i="9"/>
  <c r="A99" i="9"/>
  <c r="A94" i="9"/>
  <c r="A86" i="9"/>
  <c r="A81" i="9"/>
  <c r="A73" i="9"/>
  <c r="A98" i="9"/>
  <c r="A93" i="9"/>
  <c r="A85" i="9"/>
  <c r="A77" i="9"/>
  <c r="A72" i="9"/>
  <c r="A82" i="9"/>
  <c r="A76" i="9"/>
  <c r="B58" i="9"/>
  <c r="A87" i="9"/>
  <c r="A84" i="9"/>
  <c r="A71" i="9"/>
  <c r="A92" i="9"/>
  <c r="A95" i="9"/>
  <c r="A74" i="9"/>
  <c r="A97" i="9"/>
  <c r="C23" i="3"/>
  <c r="C10" i="1"/>
  <c r="D8" i="1"/>
  <c r="B8" i="1"/>
  <c r="E37" i="1"/>
  <c r="K5" i="4"/>
  <c r="K14" i="4" s="1"/>
  <c r="J5" i="4"/>
  <c r="J14" i="4" s="1"/>
  <c r="I5" i="4"/>
  <c r="I14" i="4" s="1"/>
  <c r="R5" i="4"/>
  <c r="R14" i="4" s="1"/>
  <c r="E5" i="4"/>
  <c r="E14" i="4" s="1"/>
  <c r="Q5" i="4"/>
  <c r="Q14" i="4" s="1"/>
  <c r="D5" i="4"/>
  <c r="D14" i="4" s="1"/>
  <c r="P5" i="4"/>
  <c r="P14" i="4" s="1"/>
  <c r="C5" i="4"/>
  <c r="C14" i="4" s="1"/>
  <c r="H5" i="4"/>
  <c r="H14" i="4" s="1"/>
  <c r="G5" i="4"/>
  <c r="G14" i="4" s="1"/>
  <c r="F5" i="4"/>
  <c r="F14" i="4" s="1"/>
  <c r="O5" i="4"/>
  <c r="O14" i="4" s="1"/>
  <c r="M5" i="4"/>
  <c r="M14" i="4" s="1"/>
  <c r="C14" i="3"/>
  <c r="L5" i="4"/>
  <c r="L14" i="4" s="1"/>
  <c r="B5" i="4"/>
  <c r="I13" i="4"/>
  <c r="B27" i="8"/>
  <c r="R76" i="8"/>
  <c r="H76" i="8"/>
  <c r="P76" i="8"/>
  <c r="E76" i="8"/>
  <c r="O76" i="8"/>
  <c r="D76" i="8"/>
  <c r="N76" i="8"/>
  <c r="C76" i="8"/>
  <c r="Q76" i="8"/>
  <c r="F76" i="8"/>
  <c r="I76" i="8"/>
  <c r="G76" i="8"/>
  <c r="B76" i="8"/>
  <c r="J76" i="8"/>
  <c r="L76" i="8"/>
  <c r="K76" i="8"/>
  <c r="M76" i="8"/>
  <c r="C21" i="3"/>
  <c r="B12" i="2"/>
  <c r="C26" i="8"/>
  <c r="C27" i="8" s="1"/>
  <c r="C29" i="8"/>
  <c r="D25" i="8" s="1"/>
  <c r="C7" i="8"/>
  <c r="C6" i="8"/>
  <c r="F12" i="7"/>
  <c r="C12" i="7"/>
  <c r="K62" i="8"/>
  <c r="L58" i="8" s="1"/>
  <c r="F42" i="8"/>
  <c r="F43" i="8" s="1"/>
  <c r="G39" i="8" s="1"/>
  <c r="P9" i="4"/>
  <c r="O18" i="4"/>
  <c r="B10" i="6"/>
  <c r="B26" i="6" s="1"/>
  <c r="B144" i="2"/>
  <c r="B147" i="2" s="1"/>
  <c r="E68" i="2"/>
  <c r="E71" i="2" s="1"/>
  <c r="C32" i="3"/>
  <c r="D68" i="2"/>
  <c r="D71" i="2" s="1"/>
  <c r="C68" i="2"/>
  <c r="C71" i="2" s="1"/>
  <c r="F68" i="2"/>
  <c r="F71" i="2" s="1"/>
  <c r="G68" i="2"/>
  <c r="G71" i="2" s="1"/>
  <c r="K54" i="8"/>
  <c r="O13" i="4"/>
  <c r="M7" i="6" l="1"/>
  <c r="O7" i="6"/>
  <c r="O8" i="7" s="1"/>
  <c r="R7" i="6"/>
  <c r="E7" i="6"/>
  <c r="E8" i="7" s="1"/>
  <c r="C16" i="4"/>
  <c r="C19" i="4" s="1"/>
  <c r="F31" i="6"/>
  <c r="E11" i="7" s="1"/>
  <c r="P16" i="4"/>
  <c r="Q7" i="6"/>
  <c r="Q8" i="7" s="1"/>
  <c r="B47" i="8"/>
  <c r="B69" i="8" s="1"/>
  <c r="F198" i="2"/>
  <c r="C7" i="6"/>
  <c r="B8" i="7" s="1"/>
  <c r="G7" i="6"/>
  <c r="G8" i="7" s="1"/>
  <c r="B49" i="8"/>
  <c r="C45" i="8" s="1"/>
  <c r="C49" i="8" s="1"/>
  <c r="G16" i="4"/>
  <c r="G19" i="4" s="1"/>
  <c r="N6" i="4"/>
  <c r="B29" i="7"/>
  <c r="C10" i="4"/>
  <c r="C3" i="5" s="1"/>
  <c r="F10" i="4"/>
  <c r="F3" i="5" s="1"/>
  <c r="N4" i="4"/>
  <c r="I8" i="7"/>
  <c r="N8" i="4"/>
  <c r="F50" i="2"/>
  <c r="Q9" i="5" s="1"/>
  <c r="E50" i="2"/>
  <c r="P9" i="5" s="1"/>
  <c r="P10" i="4"/>
  <c r="P3" i="5" s="1"/>
  <c r="F19" i="4"/>
  <c r="N7" i="4"/>
  <c r="C70" i="2" s="1"/>
  <c r="J8" i="7"/>
  <c r="D8" i="7"/>
  <c r="K10" i="4"/>
  <c r="K3" i="5" s="1"/>
  <c r="N15" i="4"/>
  <c r="I16" i="4"/>
  <c r="I19" i="4" s="1"/>
  <c r="E19" i="4"/>
  <c r="E10" i="4"/>
  <c r="E3" i="5" s="1"/>
  <c r="J16" i="4"/>
  <c r="J19" i="4" s="1"/>
  <c r="K8" i="7"/>
  <c r="H16" i="4"/>
  <c r="H19" i="4" s="1"/>
  <c r="H8" i="7"/>
  <c r="O19" i="4"/>
  <c r="G40" i="8"/>
  <c r="G41" i="8"/>
  <c r="B14" i="4"/>
  <c r="N14" i="4" s="1"/>
  <c r="N5" i="4"/>
  <c r="D19" i="4"/>
  <c r="N13" i="4"/>
  <c r="D26" i="8"/>
  <c r="D27" i="8" s="1"/>
  <c r="D29" i="8"/>
  <c r="E25" i="8" s="1"/>
  <c r="O10" i="4"/>
  <c r="G70" i="2"/>
  <c r="D10" i="4"/>
  <c r="B15" i="8"/>
  <c r="B70" i="8"/>
  <c r="B10" i="4"/>
  <c r="F37" i="8"/>
  <c r="G33" i="8" s="1"/>
  <c r="C8" i="8"/>
  <c r="L19" i="4"/>
  <c r="G50" i="2"/>
  <c r="H10" i="4"/>
  <c r="J10" i="4"/>
  <c r="E20" i="8"/>
  <c r="K55" i="8"/>
  <c r="L51" i="8" s="1"/>
  <c r="F35" i="9"/>
  <c r="D156" i="9"/>
  <c r="B55" i="9"/>
  <c r="B15" i="9"/>
  <c r="C47" i="3"/>
  <c r="C39" i="1"/>
  <c r="L10" i="4"/>
  <c r="L8" i="7"/>
  <c r="C23" i="8"/>
  <c r="D19" i="8" s="1"/>
  <c r="L59" i="8"/>
  <c r="L60" i="8"/>
  <c r="K19" i="4"/>
  <c r="P8" i="7"/>
  <c r="D70" i="2"/>
  <c r="P18" i="4"/>
  <c r="Q9" i="4"/>
  <c r="Q10" i="4" s="1"/>
  <c r="E70" i="2"/>
  <c r="I10" i="4"/>
  <c r="D13" i="7"/>
  <c r="F23" i="6"/>
  <c r="M10" i="4"/>
  <c r="M8" i="7"/>
  <c r="C50" i="2"/>
  <c r="D50" i="2"/>
  <c r="G10" i="4"/>
  <c r="M19" i="4"/>
  <c r="N17" i="4"/>
  <c r="B150" i="2"/>
  <c r="B42" i="6" s="1"/>
  <c r="B45" i="6" s="1"/>
  <c r="F70" i="2" l="1"/>
  <c r="G31" i="6"/>
  <c r="R8" i="7"/>
  <c r="C8" i="7"/>
  <c r="C48" i="8"/>
  <c r="P19" i="4"/>
  <c r="P20" i="4" s="1"/>
  <c r="C47" i="8"/>
  <c r="F8" i="7"/>
  <c r="C23" i="4"/>
  <c r="C24" i="4" s="1"/>
  <c r="F23" i="4"/>
  <c r="F24" i="4" s="1"/>
  <c r="F20" i="4"/>
  <c r="F4" i="5"/>
  <c r="F30" i="6" s="1"/>
  <c r="F33" i="6" s="1"/>
  <c r="E20" i="4"/>
  <c r="K23" i="4"/>
  <c r="K24" i="4" s="1"/>
  <c r="E29" i="2"/>
  <c r="E43" i="2" s="1"/>
  <c r="B151" i="2"/>
  <c r="B153" i="2" s="1"/>
  <c r="N16" i="4"/>
  <c r="E4" i="5"/>
  <c r="E30" i="6" s="1"/>
  <c r="E33" i="6" s="1"/>
  <c r="E23" i="4"/>
  <c r="E24" i="4" s="1"/>
  <c r="I20" i="4"/>
  <c r="I4" i="5"/>
  <c r="I30" i="6" s="1"/>
  <c r="G6" i="6"/>
  <c r="D21" i="8"/>
  <c r="G4" i="5"/>
  <c r="G30" i="6" s="1"/>
  <c r="G20" i="4"/>
  <c r="O9" i="5"/>
  <c r="I3" i="5"/>
  <c r="I23" i="4"/>
  <c r="I24" i="4" s="1"/>
  <c r="H3" i="5"/>
  <c r="H23" i="4"/>
  <c r="H24" i="4" s="1"/>
  <c r="N10" i="4"/>
  <c r="I13" i="5" s="1"/>
  <c r="B3" i="5"/>
  <c r="O23" i="4"/>
  <c r="O24" i="4" s="1"/>
  <c r="O3" i="5"/>
  <c r="D29" i="2"/>
  <c r="O20" i="4"/>
  <c r="O4" i="5"/>
  <c r="O30" i="6" s="1"/>
  <c r="L6" i="6"/>
  <c r="F6" i="6"/>
  <c r="B30" i="7"/>
  <c r="B71" i="8"/>
  <c r="B22" i="5"/>
  <c r="C11" i="8"/>
  <c r="B68" i="8"/>
  <c r="C36" i="6" s="1"/>
  <c r="C37" i="6" s="1"/>
  <c r="E26" i="8"/>
  <c r="E27" i="8" s="1"/>
  <c r="E29" i="8"/>
  <c r="F25" i="8" s="1"/>
  <c r="D20" i="4"/>
  <c r="D4" i="5"/>
  <c r="D30" i="6" s="1"/>
  <c r="E13" i="7"/>
  <c r="G23" i="6"/>
  <c r="D45" i="8"/>
  <c r="C29" i="7"/>
  <c r="Q3" i="5"/>
  <c r="F29" i="2"/>
  <c r="D6" i="6"/>
  <c r="R9" i="5"/>
  <c r="G3" i="5"/>
  <c r="G23" i="4"/>
  <c r="G24" i="4" s="1"/>
  <c r="K4" i="5"/>
  <c r="K30" i="6" s="1"/>
  <c r="K20" i="4"/>
  <c r="D4" i="9"/>
  <c r="H38" i="3"/>
  <c r="P9" i="6"/>
  <c r="P6" i="6"/>
  <c r="P23" i="6"/>
  <c r="M4" i="5"/>
  <c r="M20" i="4"/>
  <c r="L61" i="8"/>
  <c r="C9" i="8"/>
  <c r="D23" i="4"/>
  <c r="D24" i="4" s="1"/>
  <c r="D3" i="5"/>
  <c r="M23" i="4"/>
  <c r="M24" i="4" s="1"/>
  <c r="M3" i="5"/>
  <c r="F20" i="8"/>
  <c r="R9" i="4"/>
  <c r="Q18" i="4"/>
  <c r="Q19" i="4" s="1"/>
  <c r="C20" i="4"/>
  <c r="C4" i="5"/>
  <c r="C30" i="6" s="1"/>
  <c r="H20" i="4"/>
  <c r="H4" i="5"/>
  <c r="H30" i="6" s="1"/>
  <c r="G35" i="8"/>
  <c r="G34" i="8"/>
  <c r="L53" i="8"/>
  <c r="L52" i="8"/>
  <c r="L4" i="5"/>
  <c r="L30" i="6" s="1"/>
  <c r="L20" i="4"/>
  <c r="J20" i="4"/>
  <c r="J4" i="5"/>
  <c r="J30" i="6" s="1"/>
  <c r="C42" i="6"/>
  <c r="B47" i="6"/>
  <c r="B49" i="6" s="1"/>
  <c r="F11" i="7"/>
  <c r="H31" i="6"/>
  <c r="L23" i="4"/>
  <c r="L24" i="4" s="1"/>
  <c r="L3" i="5"/>
  <c r="J3" i="5"/>
  <c r="J23" i="4"/>
  <c r="J24" i="4" s="1"/>
  <c r="B19" i="4"/>
  <c r="B23" i="4" s="1"/>
  <c r="B24" i="4" s="1"/>
  <c r="G42" i="8"/>
  <c r="N8" i="7" l="1"/>
  <c r="P23" i="4"/>
  <c r="P24" i="4" s="1"/>
  <c r="P4" i="5"/>
  <c r="P30" i="6" s="1"/>
  <c r="P10" i="7" s="1"/>
  <c r="E63" i="2"/>
  <c r="P18" i="7" s="1"/>
  <c r="J12" i="5"/>
  <c r="D13" i="5"/>
  <c r="M13" i="5"/>
  <c r="L12" i="5"/>
  <c r="F9" i="5"/>
  <c r="F5" i="5"/>
  <c r="F6" i="5" s="1"/>
  <c r="M9" i="5"/>
  <c r="L9" i="5"/>
  <c r="J13" i="5"/>
  <c r="I9" i="5"/>
  <c r="J11" i="5"/>
  <c r="E52" i="2"/>
  <c r="P10" i="5" s="1"/>
  <c r="G12" i="5"/>
  <c r="E64" i="2"/>
  <c r="P19" i="7" s="1"/>
  <c r="I11" i="5"/>
  <c r="L11" i="5"/>
  <c r="E30" i="2"/>
  <c r="D10" i="7"/>
  <c r="H13" i="5"/>
  <c r="E10" i="7"/>
  <c r="G13" i="5"/>
  <c r="F7" i="7"/>
  <c r="E5" i="5"/>
  <c r="E6" i="5" s="1"/>
  <c r="Q20" i="4"/>
  <c r="Q4" i="5"/>
  <c r="Q30" i="6" s="1"/>
  <c r="M12" i="5"/>
  <c r="J5" i="5"/>
  <c r="K6" i="6"/>
  <c r="K7" i="7" s="1"/>
  <c r="I10" i="7"/>
  <c r="G36" i="8"/>
  <c r="E9" i="5"/>
  <c r="C5" i="5"/>
  <c r="C12" i="8"/>
  <c r="C13" i="8"/>
  <c r="K5" i="5"/>
  <c r="B13" i="5"/>
  <c r="I12" i="5"/>
  <c r="N3" i="5"/>
  <c r="C6" i="6"/>
  <c r="B7" i="7" s="1"/>
  <c r="D22" i="8"/>
  <c r="J10" i="7"/>
  <c r="G20" i="8"/>
  <c r="D49" i="8"/>
  <c r="D47" i="8"/>
  <c r="D48" i="8"/>
  <c r="F13" i="7"/>
  <c r="H23" i="6"/>
  <c r="C29" i="2"/>
  <c r="D63" i="2" s="1"/>
  <c r="F12" i="5"/>
  <c r="E12" i="5"/>
  <c r="K12" i="5"/>
  <c r="F11" i="5"/>
  <c r="C13" i="5"/>
  <c r="E11" i="5"/>
  <c r="E13" i="5"/>
  <c r="K11" i="5"/>
  <c r="K13" i="5"/>
  <c r="F13" i="5"/>
  <c r="C11" i="5"/>
  <c r="C12" i="5"/>
  <c r="L13" i="5"/>
  <c r="G10" i="7"/>
  <c r="H33" i="6"/>
  <c r="J9" i="5"/>
  <c r="D12" i="5"/>
  <c r="N30" i="6"/>
  <c r="M30" i="6"/>
  <c r="G43" i="8"/>
  <c r="H39" i="8" s="1"/>
  <c r="L5" i="5"/>
  <c r="M6" i="6"/>
  <c r="L7" i="7" s="1"/>
  <c r="K10" i="7"/>
  <c r="G9" i="5"/>
  <c r="K9" i="5"/>
  <c r="D11" i="5"/>
  <c r="G11" i="5"/>
  <c r="I31" i="6"/>
  <c r="G11" i="7"/>
  <c r="L62" i="8"/>
  <c r="M58" i="8" s="1"/>
  <c r="H12" i="5"/>
  <c r="I5" i="5"/>
  <c r="J6" i="6"/>
  <c r="B4" i="5"/>
  <c r="N4" i="5" s="1"/>
  <c r="B20" i="4"/>
  <c r="N19" i="4"/>
  <c r="N20" i="4" s="1"/>
  <c r="B10" i="7"/>
  <c r="C33" i="6"/>
  <c r="C39" i="6" s="1"/>
  <c r="H9" i="5"/>
  <c r="D5" i="5"/>
  <c r="E6" i="6"/>
  <c r="D7" i="7" s="1"/>
  <c r="C10" i="7"/>
  <c r="D33" i="6"/>
  <c r="D52" i="2"/>
  <c r="D43" i="2"/>
  <c r="D64" i="2"/>
  <c r="O19" i="7" s="1"/>
  <c r="H11" i="5"/>
  <c r="G5" i="5"/>
  <c r="H6" i="6"/>
  <c r="G7" i="7" s="1"/>
  <c r="C4" i="9"/>
  <c r="O5" i="5"/>
  <c r="G38" i="3"/>
  <c r="O6" i="6"/>
  <c r="O9" i="6"/>
  <c r="P12" i="7" s="1"/>
  <c r="O23" i="6"/>
  <c r="P13" i="7" s="1"/>
  <c r="H10" i="7"/>
  <c r="B9" i="5"/>
  <c r="D5" i="8"/>
  <c r="Q23" i="4"/>
  <c r="Q24" i="4" s="1"/>
  <c r="F29" i="8"/>
  <c r="G25" i="8" s="1"/>
  <c r="F26" i="8"/>
  <c r="F27" i="8" s="1"/>
  <c r="L54" i="8"/>
  <c r="R18" i="4"/>
  <c r="R19" i="4" s="1"/>
  <c r="R10" i="4"/>
  <c r="C9" i="5"/>
  <c r="M11" i="5"/>
  <c r="E4" i="9"/>
  <c r="I38" i="3"/>
  <c r="Q23" i="6"/>
  <c r="Q13" i="7" s="1"/>
  <c r="Q9" i="6"/>
  <c r="Q12" i="7" s="1"/>
  <c r="Q6" i="6"/>
  <c r="Q7" i="7" s="1"/>
  <c r="B11" i="5"/>
  <c r="H5" i="5"/>
  <c r="I6" i="6"/>
  <c r="G33" i="6"/>
  <c r="F10" i="7"/>
  <c r="F63" i="2"/>
  <c r="F30" i="2"/>
  <c r="F52" i="2"/>
  <c r="F64" i="2"/>
  <c r="Q19" i="7" s="1"/>
  <c r="F43" i="2"/>
  <c r="D9" i="5"/>
  <c r="M5" i="5"/>
  <c r="N6" i="6"/>
  <c r="B12" i="5"/>
  <c r="Q5" i="5" l="1"/>
  <c r="P5" i="5"/>
  <c r="P6" i="5" s="1"/>
  <c r="H39" i="3" s="1"/>
  <c r="E65" i="2"/>
  <c r="P20" i="7"/>
  <c r="D8" i="9" s="1"/>
  <c r="O7" i="7"/>
  <c r="C7" i="7"/>
  <c r="B5" i="5"/>
  <c r="B6" i="5" s="1"/>
  <c r="D30" i="2"/>
  <c r="N23" i="4"/>
  <c r="N24" i="4" s="1"/>
  <c r="I7" i="7"/>
  <c r="L10" i="7"/>
  <c r="C52" i="2"/>
  <c r="C63" i="2"/>
  <c r="C64" i="2"/>
  <c r="C43" i="2"/>
  <c r="C30" i="2"/>
  <c r="L55" i="8"/>
  <c r="M51" i="8" s="1"/>
  <c r="H6" i="5"/>
  <c r="G29" i="8"/>
  <c r="H25" i="8" s="1"/>
  <c r="G26" i="8"/>
  <c r="N13" i="5"/>
  <c r="N11" i="5"/>
  <c r="D23" i="8"/>
  <c r="E19" i="8" s="1"/>
  <c r="K6" i="5"/>
  <c r="C69" i="8"/>
  <c r="J7" i="7"/>
  <c r="Q10" i="5"/>
  <c r="Q6" i="5"/>
  <c r="I39" i="3" s="1"/>
  <c r="N9" i="5"/>
  <c r="D6" i="5"/>
  <c r="N12" i="5"/>
  <c r="O6" i="5"/>
  <c r="G39" i="3" s="1"/>
  <c r="P7" i="7"/>
  <c r="I6" i="5"/>
  <c r="H11" i="7"/>
  <c r="J31" i="6"/>
  <c r="L6" i="5"/>
  <c r="E45" i="8"/>
  <c r="D29" i="7"/>
  <c r="J6" i="5"/>
  <c r="R3" i="5"/>
  <c r="D21" i="1" s="1"/>
  <c r="R23" i="4"/>
  <c r="R24" i="4" s="1"/>
  <c r="G29" i="2"/>
  <c r="D7" i="8"/>
  <c r="D6" i="8"/>
  <c r="H41" i="8"/>
  <c r="H40" i="8"/>
  <c r="B4" i="9"/>
  <c r="N5" i="5"/>
  <c r="F38" i="3"/>
  <c r="N9" i="6"/>
  <c r="M12" i="7" s="1"/>
  <c r="N12" i="7" s="1"/>
  <c r="G51" i="3"/>
  <c r="C14" i="8"/>
  <c r="Q10" i="7"/>
  <c r="C6" i="5"/>
  <c r="R20" i="4"/>
  <c r="R4" i="5"/>
  <c r="R30" i="6" s="1"/>
  <c r="O18" i="7"/>
  <c r="O20" i="7" s="1"/>
  <c r="D65" i="2"/>
  <c r="Q18" i="7"/>
  <c r="Q20" i="7" s="1"/>
  <c r="F65" i="2"/>
  <c r="O10" i="5"/>
  <c r="I33" i="6"/>
  <c r="M10" i="7"/>
  <c r="O10" i="7"/>
  <c r="G6" i="5"/>
  <c r="H20" i="8"/>
  <c r="M7" i="7"/>
  <c r="E7" i="7"/>
  <c r="M6" i="5"/>
  <c r="H7" i="7"/>
  <c r="M60" i="8"/>
  <c r="N60" i="8" s="1"/>
  <c r="M59" i="8"/>
  <c r="N58" i="8"/>
  <c r="G13" i="7"/>
  <c r="I23" i="6"/>
  <c r="G37" i="8"/>
  <c r="H33" i="8" s="1"/>
  <c r="P22" i="7" l="1"/>
  <c r="N10" i="7"/>
  <c r="E49" i="8"/>
  <c r="E47" i="8"/>
  <c r="E48" i="8"/>
  <c r="O12" i="7"/>
  <c r="G27" i="8"/>
  <c r="E21" i="8"/>
  <c r="H29" i="8"/>
  <c r="I25" i="8" s="1"/>
  <c r="H26" i="8"/>
  <c r="H27" i="8" s="1"/>
  <c r="J19" i="7"/>
  <c r="I19" i="7"/>
  <c r="H19" i="7"/>
  <c r="K19" i="7"/>
  <c r="D19" i="7"/>
  <c r="C19" i="7"/>
  <c r="B19" i="7"/>
  <c r="M19" i="7"/>
  <c r="L19" i="7"/>
  <c r="F19" i="7"/>
  <c r="G19" i="7"/>
  <c r="E19" i="7"/>
  <c r="G18" i="7"/>
  <c r="F18" i="7"/>
  <c r="E18" i="7"/>
  <c r="H18" i="7"/>
  <c r="C18" i="7"/>
  <c r="B18" i="7"/>
  <c r="L18" i="7"/>
  <c r="J18" i="7"/>
  <c r="I18" i="7"/>
  <c r="D18" i="7"/>
  <c r="M18" i="7"/>
  <c r="K18" i="7"/>
  <c r="C65" i="2"/>
  <c r="D10" i="5"/>
  <c r="M10" i="5"/>
  <c r="C10" i="5"/>
  <c r="L10" i="5"/>
  <c r="B10" i="5"/>
  <c r="I10" i="5"/>
  <c r="F10" i="5"/>
  <c r="E10" i="5"/>
  <c r="J10" i="5"/>
  <c r="H10" i="5"/>
  <c r="G10" i="5"/>
  <c r="K10" i="5"/>
  <c r="D8" i="8"/>
  <c r="I20" i="8"/>
  <c r="G63" i="2"/>
  <c r="G30" i="2"/>
  <c r="H29" i="2"/>
  <c r="G52" i="2"/>
  <c r="G64" i="2"/>
  <c r="R19" i="7" s="1"/>
  <c r="G43" i="2"/>
  <c r="I11" i="7"/>
  <c r="K31" i="6"/>
  <c r="J33" i="6"/>
  <c r="H13" i="7"/>
  <c r="J23" i="6"/>
  <c r="F4" i="9"/>
  <c r="R5" i="5"/>
  <c r="C42" i="1"/>
  <c r="R23" i="6"/>
  <c r="R13" i="7" s="1"/>
  <c r="R6" i="6"/>
  <c r="R7" i="7" s="1"/>
  <c r="R9" i="6"/>
  <c r="R12" i="7" s="1"/>
  <c r="C40" i="1"/>
  <c r="E8" i="9"/>
  <c r="Q22" i="7"/>
  <c r="C70" i="8"/>
  <c r="C71" i="8" s="1"/>
  <c r="C15" i="8"/>
  <c r="H42" i="8"/>
  <c r="N7" i="7"/>
  <c r="C22" i="5"/>
  <c r="M53" i="8"/>
  <c r="N53" i="8" s="1"/>
  <c r="N51" i="8"/>
  <c r="M52" i="8"/>
  <c r="M61" i="8"/>
  <c r="N59" i="8"/>
  <c r="H34" i="8"/>
  <c r="H35" i="8"/>
  <c r="N6" i="5"/>
  <c r="C8" i="9"/>
  <c r="O22" i="7"/>
  <c r="R10" i="7"/>
  <c r="E20" i="7" l="1"/>
  <c r="E22" i="7" s="1"/>
  <c r="K20" i="7"/>
  <c r="K22" i="7" s="1"/>
  <c r="H20" i="7"/>
  <c r="H22" i="7" s="1"/>
  <c r="J20" i="7"/>
  <c r="J22" i="7" s="1"/>
  <c r="L20" i="7"/>
  <c r="L22" i="7" s="1"/>
  <c r="F20" i="7"/>
  <c r="F22" i="7" s="1"/>
  <c r="M20" i="7"/>
  <c r="M22" i="7" s="1"/>
  <c r="G20" i="7"/>
  <c r="G22" i="7" s="1"/>
  <c r="I13" i="7"/>
  <c r="K23" i="6"/>
  <c r="B20" i="7"/>
  <c r="N18" i="7"/>
  <c r="E22" i="8"/>
  <c r="G50" i="3"/>
  <c r="F39" i="3"/>
  <c r="H36" i="8"/>
  <c r="R18" i="7"/>
  <c r="R20" i="7" s="1"/>
  <c r="G65" i="2"/>
  <c r="G56" i="2" s="1"/>
  <c r="C20" i="7"/>
  <c r="C22" i="7" s="1"/>
  <c r="N19" i="7"/>
  <c r="N61" i="8"/>
  <c r="M62" i="8"/>
  <c r="N62" i="8" s="1"/>
  <c r="O58" i="8" s="1"/>
  <c r="J11" i="7"/>
  <c r="L31" i="6"/>
  <c r="K33" i="6"/>
  <c r="J20" i="8"/>
  <c r="D56" i="2"/>
  <c r="C56" i="2"/>
  <c r="F56" i="2"/>
  <c r="E56" i="2"/>
  <c r="C13" i="6"/>
  <c r="M54" i="8"/>
  <c r="N52" i="8"/>
  <c r="D20" i="7"/>
  <c r="D22" i="7" s="1"/>
  <c r="D11" i="8"/>
  <c r="C68" i="8"/>
  <c r="D36" i="6" s="1"/>
  <c r="D37" i="6" s="1"/>
  <c r="D39" i="6" s="1"/>
  <c r="R6" i="5"/>
  <c r="N10" i="5"/>
  <c r="I20" i="7"/>
  <c r="I22" i="7" s="1"/>
  <c r="F45" i="8"/>
  <c r="E29" i="7"/>
  <c r="H43" i="8"/>
  <c r="I39" i="8" s="1"/>
  <c r="C30" i="7"/>
  <c r="R10" i="5"/>
  <c r="D9" i="8"/>
  <c r="I26" i="8"/>
  <c r="I27" i="8" s="1"/>
  <c r="I29" i="8"/>
  <c r="J25" i="8" s="1"/>
  <c r="R14" i="5" l="1"/>
  <c r="R5" i="7" s="1"/>
  <c r="G58" i="2"/>
  <c r="G59" i="2" s="1"/>
  <c r="F14" i="5"/>
  <c r="E14" i="5"/>
  <c r="D14" i="5"/>
  <c r="K14" i="5"/>
  <c r="C14" i="5"/>
  <c r="B14" i="5"/>
  <c r="L14" i="5"/>
  <c r="I14" i="5"/>
  <c r="H14" i="5"/>
  <c r="G14" i="5"/>
  <c r="M14" i="5"/>
  <c r="J14" i="5"/>
  <c r="C58" i="2"/>
  <c r="C59" i="2" s="1"/>
  <c r="O14" i="5"/>
  <c r="D58" i="2"/>
  <c r="D59" i="2" s="1"/>
  <c r="N54" i="8"/>
  <c r="M55" i="8"/>
  <c r="N55" i="8" s="1"/>
  <c r="O51" i="8" s="1"/>
  <c r="J29" i="8"/>
  <c r="K25" i="8" s="1"/>
  <c r="J26" i="8"/>
  <c r="J27" i="8" s="1"/>
  <c r="K20" i="8"/>
  <c r="E23" i="8"/>
  <c r="F19" i="8" s="1"/>
  <c r="I41" i="8"/>
  <c r="I40" i="8"/>
  <c r="F8" i="9"/>
  <c r="R22" i="7"/>
  <c r="K11" i="7"/>
  <c r="M31" i="6"/>
  <c r="L33" i="6"/>
  <c r="F47" i="8"/>
  <c r="F49" i="8"/>
  <c r="F48" i="8"/>
  <c r="Q14" i="5"/>
  <c r="F58" i="2"/>
  <c r="F59" i="2" s="1"/>
  <c r="O59" i="8"/>
  <c r="O60" i="8"/>
  <c r="H37" i="8"/>
  <c r="I33" i="8" s="1"/>
  <c r="J13" i="7"/>
  <c r="L23" i="6"/>
  <c r="D13" i="8"/>
  <c r="D12" i="8"/>
  <c r="N20" i="7"/>
  <c r="B22" i="7"/>
  <c r="D13" i="6"/>
  <c r="P14" i="5"/>
  <c r="E58" i="2"/>
  <c r="E59" i="2" s="1"/>
  <c r="E5" i="8"/>
  <c r="R16" i="5" l="1"/>
  <c r="O61" i="8"/>
  <c r="O62" i="8" s="1"/>
  <c r="P58" i="8" s="1"/>
  <c r="E7" i="8"/>
  <c r="E6" i="8"/>
  <c r="L20" i="8"/>
  <c r="R17" i="5"/>
  <c r="R8" i="6"/>
  <c r="R19" i="5"/>
  <c r="K26" i="8"/>
  <c r="K27" i="8" s="1"/>
  <c r="K29" i="8"/>
  <c r="L25" i="8" s="1"/>
  <c r="I5" i="7"/>
  <c r="I16" i="5"/>
  <c r="O53" i="8"/>
  <c r="O52" i="8"/>
  <c r="N14" i="5"/>
  <c r="N16" i="5" s="1"/>
  <c r="B5" i="7"/>
  <c r="C14" i="6"/>
  <c r="B16" i="5"/>
  <c r="L11" i="7"/>
  <c r="N31" i="6"/>
  <c r="M33" i="6"/>
  <c r="F21" i="8"/>
  <c r="C5" i="7"/>
  <c r="C16" i="5"/>
  <c r="N22" i="7"/>
  <c r="B8" i="9"/>
  <c r="L5" i="7"/>
  <c r="L16" i="5"/>
  <c r="O5" i="7"/>
  <c r="O16" i="5"/>
  <c r="K5" i="7"/>
  <c r="K16" i="5"/>
  <c r="P5" i="7"/>
  <c r="P16" i="5"/>
  <c r="M5" i="7"/>
  <c r="M16" i="5"/>
  <c r="E5" i="7"/>
  <c r="E16" i="5"/>
  <c r="G45" i="8"/>
  <c r="F29" i="7"/>
  <c r="E13" i="6"/>
  <c r="I42" i="8"/>
  <c r="G5" i="7"/>
  <c r="G16" i="5"/>
  <c r="D14" i="8"/>
  <c r="Q5" i="7"/>
  <c r="Q16" i="5"/>
  <c r="D5" i="7"/>
  <c r="D16" i="5"/>
  <c r="D69" i="8"/>
  <c r="J5" i="7"/>
  <c r="J16" i="5"/>
  <c r="K13" i="7"/>
  <c r="M23" i="6"/>
  <c r="F5" i="7"/>
  <c r="F16" i="5"/>
  <c r="I35" i="8"/>
  <c r="I34" i="8"/>
  <c r="H5" i="7"/>
  <c r="H16" i="5"/>
  <c r="O54" i="8" l="1"/>
  <c r="O55" i="8" s="1"/>
  <c r="P51" i="8" s="1"/>
  <c r="P53" i="8" s="1"/>
  <c r="I36" i="8"/>
  <c r="N17" i="5"/>
  <c r="N19" i="5"/>
  <c r="D70" i="8"/>
  <c r="D15" i="8"/>
  <c r="H17" i="5"/>
  <c r="I8" i="6"/>
  <c r="H19" i="5"/>
  <c r="J17" i="5"/>
  <c r="K8" i="6"/>
  <c r="J19" i="5"/>
  <c r="G17" i="5"/>
  <c r="H8" i="6"/>
  <c r="G19" i="5"/>
  <c r="M17" i="5"/>
  <c r="N8" i="6"/>
  <c r="M19" i="5"/>
  <c r="B17" i="5"/>
  <c r="C8" i="6"/>
  <c r="B9" i="7" s="1"/>
  <c r="B19" i="5"/>
  <c r="D14" i="6"/>
  <c r="C15" i="6"/>
  <c r="C24" i="6" s="1"/>
  <c r="F7" i="9"/>
  <c r="R20" i="5"/>
  <c r="R30" i="5"/>
  <c r="C17" i="5"/>
  <c r="D8" i="6"/>
  <c r="C19" i="5"/>
  <c r="D22" i="5"/>
  <c r="P17" i="5"/>
  <c r="P8" i="6"/>
  <c r="P19" i="5"/>
  <c r="N5" i="7"/>
  <c r="M20" i="8"/>
  <c r="D17" i="5"/>
  <c r="E8" i="6"/>
  <c r="D19" i="5"/>
  <c r="F13" i="6"/>
  <c r="F22" i="8"/>
  <c r="F23" i="8" s="1"/>
  <c r="G19" i="8" s="1"/>
  <c r="K17" i="5"/>
  <c r="L8" i="6"/>
  <c r="K19" i="5"/>
  <c r="E8" i="8"/>
  <c r="J8" i="6"/>
  <c r="I17" i="5"/>
  <c r="I19" i="5"/>
  <c r="I43" i="8"/>
  <c r="J39" i="8" s="1"/>
  <c r="F17" i="5"/>
  <c r="G8" i="6"/>
  <c r="F19" i="5"/>
  <c r="Q17" i="5"/>
  <c r="Q8" i="6"/>
  <c r="Q19" i="5"/>
  <c r="O17" i="5"/>
  <c r="O8" i="6"/>
  <c r="O19" i="5"/>
  <c r="G47" i="8"/>
  <c r="G49" i="8"/>
  <c r="G48" i="8"/>
  <c r="L13" i="7"/>
  <c r="N23" i="6"/>
  <c r="E17" i="5"/>
  <c r="F8" i="6"/>
  <c r="E19" i="5"/>
  <c r="L17" i="5"/>
  <c r="M8" i="6"/>
  <c r="L19" i="5"/>
  <c r="M11" i="7"/>
  <c r="N11" i="7" s="1"/>
  <c r="O31" i="6"/>
  <c r="L29" i="8"/>
  <c r="M25" i="8" s="1"/>
  <c r="L26" i="8"/>
  <c r="L27" i="8" s="1"/>
  <c r="P60" i="8"/>
  <c r="P59" i="8"/>
  <c r="L9" i="7" l="1"/>
  <c r="P52" i="8"/>
  <c r="O9" i="7"/>
  <c r="D9" i="7"/>
  <c r="D14" i="7" s="1"/>
  <c r="Q9" i="7"/>
  <c r="I9" i="7"/>
  <c r="I14" i="7" s="1"/>
  <c r="F9" i="7"/>
  <c r="F14" i="7" s="1"/>
  <c r="P61" i="8"/>
  <c r="P62" i="8" s="1"/>
  <c r="Q58" i="8" s="1"/>
  <c r="Q59" i="8" s="1"/>
  <c r="L14" i="7"/>
  <c r="E30" i="5"/>
  <c r="E20" i="5"/>
  <c r="E7" i="9"/>
  <c r="Q20" i="5"/>
  <c r="Q30" i="5"/>
  <c r="I30" i="5"/>
  <c r="I20" i="5"/>
  <c r="P9" i="7"/>
  <c r="E11" i="8"/>
  <c r="D68" i="8"/>
  <c r="E36" i="6" s="1"/>
  <c r="E37" i="6" s="1"/>
  <c r="E39" i="6" s="1"/>
  <c r="D30" i="7"/>
  <c r="B7" i="9"/>
  <c r="N30" i="5"/>
  <c r="N20" i="5"/>
  <c r="D30" i="5"/>
  <c r="D24" i="5"/>
  <c r="D20" i="5"/>
  <c r="G9" i="7"/>
  <c r="G14" i="7" s="1"/>
  <c r="L30" i="5"/>
  <c r="L20" i="5"/>
  <c r="H45" i="8"/>
  <c r="G29" i="7"/>
  <c r="F20" i="5"/>
  <c r="F30" i="5"/>
  <c r="E9" i="8"/>
  <c r="D71" i="8"/>
  <c r="E14" i="6"/>
  <c r="D15" i="6"/>
  <c r="D24" i="6" s="1"/>
  <c r="J30" i="5"/>
  <c r="J20" i="5"/>
  <c r="O11" i="7"/>
  <c r="P31" i="6"/>
  <c r="C7" i="9"/>
  <c r="O30" i="5"/>
  <c r="O20" i="5"/>
  <c r="N20" i="8"/>
  <c r="J41" i="8"/>
  <c r="J40" i="8"/>
  <c r="K9" i="7"/>
  <c r="K14" i="7" s="1"/>
  <c r="R9" i="7"/>
  <c r="C9" i="7"/>
  <c r="C14" i="7" s="1"/>
  <c r="H20" i="5"/>
  <c r="H30" i="5"/>
  <c r="G13" i="6"/>
  <c r="G20" i="5"/>
  <c r="G30" i="5"/>
  <c r="C24" i="5"/>
  <c r="C30" i="5"/>
  <c r="C20" i="5"/>
  <c r="I37" i="8"/>
  <c r="J33" i="8" s="1"/>
  <c r="M30" i="5"/>
  <c r="M20" i="5"/>
  <c r="H9" i="7"/>
  <c r="H14" i="7" s="1"/>
  <c r="P54" i="8"/>
  <c r="P55" i="8" s="1"/>
  <c r="Q51" i="8" s="1"/>
  <c r="K30" i="5"/>
  <c r="K20" i="5"/>
  <c r="B24" i="5"/>
  <c r="B20" i="5"/>
  <c r="B30" i="5"/>
  <c r="J9" i="7"/>
  <c r="J14" i="7" s="1"/>
  <c r="B14" i="7"/>
  <c r="E9" i="7"/>
  <c r="E14" i="7" s="1"/>
  <c r="M29" i="8"/>
  <c r="M26" i="8"/>
  <c r="M13" i="7"/>
  <c r="N13" i="7" s="1"/>
  <c r="O13" i="7"/>
  <c r="G21" i="8"/>
  <c r="G22" i="8" s="1"/>
  <c r="G23" i="8" s="1"/>
  <c r="H19" i="8" s="1"/>
  <c r="D7" i="9"/>
  <c r="P20" i="5"/>
  <c r="P30" i="5"/>
  <c r="F5" i="9"/>
  <c r="J51" i="9"/>
  <c r="J64" i="9" s="1"/>
  <c r="F95" i="8"/>
  <c r="R74" i="8"/>
  <c r="C43" i="1"/>
  <c r="M9" i="7"/>
  <c r="Q60" i="8" l="1"/>
  <c r="Q61" i="8" s="1"/>
  <c r="Q62" i="8" s="1"/>
  <c r="R58" i="8" s="1"/>
  <c r="M14" i="7"/>
  <c r="O14" i="7"/>
  <c r="C9" i="9" s="1"/>
  <c r="H21" i="8"/>
  <c r="H22" i="8" s="1"/>
  <c r="H23" i="8" s="1"/>
  <c r="I19" i="8" s="1"/>
  <c r="F6" i="9"/>
  <c r="N29" i="8"/>
  <c r="O25" i="8" s="1"/>
  <c r="N25" i="8"/>
  <c r="C25" i="5"/>
  <c r="C27" i="5" s="1"/>
  <c r="H47" i="8"/>
  <c r="H49" i="8"/>
  <c r="H48" i="8"/>
  <c r="F51" i="9"/>
  <c r="F64" i="9" s="1"/>
  <c r="B95" i="8"/>
  <c r="B5" i="9"/>
  <c r="N74" i="8"/>
  <c r="F40" i="3"/>
  <c r="E5" i="9"/>
  <c r="Q74" i="8"/>
  <c r="E95" i="8"/>
  <c r="I51" i="9"/>
  <c r="I64" i="9" s="1"/>
  <c r="I40" i="3"/>
  <c r="N9" i="7"/>
  <c r="N14" i="7" s="1"/>
  <c r="B9" i="9" s="1"/>
  <c r="Q52" i="8"/>
  <c r="Q53" i="8"/>
  <c r="G51" i="9"/>
  <c r="G64" i="9" s="1"/>
  <c r="O74" i="8"/>
  <c r="C95" i="8"/>
  <c r="C5" i="9"/>
  <c r="G40" i="3"/>
  <c r="F14" i="6"/>
  <c r="E15" i="6"/>
  <c r="E24" i="6" s="1"/>
  <c r="D5" i="9"/>
  <c r="P74" i="8"/>
  <c r="H51" i="9"/>
  <c r="H64" i="9" s="1"/>
  <c r="D95" i="8"/>
  <c r="H40" i="3"/>
  <c r="J42" i="8"/>
  <c r="J43" i="8" s="1"/>
  <c r="K39" i="8" s="1"/>
  <c r="F5" i="8"/>
  <c r="E13" i="8"/>
  <c r="E12" i="8"/>
  <c r="L74" i="8"/>
  <c r="B74" i="8"/>
  <c r="F74" i="8"/>
  <c r="E74" i="8"/>
  <c r="D74" i="8"/>
  <c r="G74" i="8"/>
  <c r="C74" i="8"/>
  <c r="H74" i="8"/>
  <c r="M74" i="8"/>
  <c r="K74" i="8"/>
  <c r="J74" i="8"/>
  <c r="I74" i="8"/>
  <c r="P11" i="7"/>
  <c r="P14" i="7" s="1"/>
  <c r="D9" i="9" s="1"/>
  <c r="Q31" i="6"/>
  <c r="J35" i="8"/>
  <c r="J34" i="8"/>
  <c r="D25" i="5"/>
  <c r="D27" i="5" s="1"/>
  <c r="H13" i="6"/>
  <c r="B25" i="5"/>
  <c r="B27" i="5" s="1"/>
  <c r="M27" i="8"/>
  <c r="N27" i="8" s="1"/>
  <c r="N26" i="8"/>
  <c r="R60" i="8" l="1"/>
  <c r="R59" i="8"/>
  <c r="J36" i="8"/>
  <c r="J37" i="8" s="1"/>
  <c r="K33" i="8" s="1"/>
  <c r="K35" i="8" s="1"/>
  <c r="I21" i="8"/>
  <c r="I22" i="8" s="1"/>
  <c r="I23" i="8" s="1"/>
  <c r="J19" i="8" s="1"/>
  <c r="E69" i="8"/>
  <c r="C75" i="8"/>
  <c r="C78" i="8"/>
  <c r="C81" i="8"/>
  <c r="O29" i="8"/>
  <c r="P25" i="8" s="1"/>
  <c r="O26" i="8"/>
  <c r="O27" i="8" s="1"/>
  <c r="B75" i="8"/>
  <c r="B78" i="8"/>
  <c r="B81" i="8"/>
  <c r="G14" i="6"/>
  <c r="F15" i="6"/>
  <c r="F24" i="6" s="1"/>
  <c r="B28" i="5"/>
  <c r="C43" i="6"/>
  <c r="B4" i="7"/>
  <c r="B15" i="7" s="1"/>
  <c r="Q54" i="8"/>
  <c r="Q55" i="8" s="1"/>
  <c r="R51" i="8" s="1"/>
  <c r="I45" i="8"/>
  <c r="H29" i="7"/>
  <c r="B10" i="9"/>
  <c r="B6" i="9"/>
  <c r="Q11" i="7"/>
  <c r="Q14" i="7" s="1"/>
  <c r="E9" i="9" s="1"/>
  <c r="E10" i="9" s="1"/>
  <c r="R31" i="6"/>
  <c r="I13" i="6"/>
  <c r="F7" i="8"/>
  <c r="F6" i="8"/>
  <c r="D28" i="5"/>
  <c r="D4" i="7"/>
  <c r="D15" i="7" s="1"/>
  <c r="E43" i="6"/>
  <c r="E44" i="6" s="1"/>
  <c r="D31" i="7" s="1"/>
  <c r="D32" i="7" s="1"/>
  <c r="K41" i="8"/>
  <c r="K40" i="8"/>
  <c r="C4" i="7"/>
  <c r="C15" i="7" s="1"/>
  <c r="C28" i="5"/>
  <c r="D43" i="6"/>
  <c r="D44" i="6" s="1"/>
  <c r="C31" i="7" s="1"/>
  <c r="C32" i="7" s="1"/>
  <c r="D75" i="8"/>
  <c r="D78" i="8"/>
  <c r="G95" i="8"/>
  <c r="D10" i="9"/>
  <c r="D6" i="9"/>
  <c r="C10" i="9"/>
  <c r="C6" i="9"/>
  <c r="E14" i="8"/>
  <c r="D81" i="8"/>
  <c r="E6" i="9"/>
  <c r="R61" i="8" l="1"/>
  <c r="R62" i="8" s="1"/>
  <c r="K34" i="8"/>
  <c r="K36" i="8" s="1"/>
  <c r="K37" i="8" s="1"/>
  <c r="L33" i="8" s="1"/>
  <c r="L35" i="8" s="1"/>
  <c r="K42" i="8"/>
  <c r="K43" i="8" s="1"/>
  <c r="L39" i="8" s="1"/>
  <c r="L41" i="8" s="1"/>
  <c r="C34" i="7"/>
  <c r="J13" i="6"/>
  <c r="I47" i="8"/>
  <c r="I49" i="8"/>
  <c r="I48" i="8"/>
  <c r="P26" i="8"/>
  <c r="P27" i="8" s="1"/>
  <c r="P29" i="8"/>
  <c r="Q25" i="8" s="1"/>
  <c r="J21" i="8"/>
  <c r="J22" i="8" s="1"/>
  <c r="J23" i="8" s="1"/>
  <c r="K19" i="8" s="1"/>
  <c r="F8" i="8"/>
  <c r="R11" i="7"/>
  <c r="R14" i="7" s="1"/>
  <c r="F9" i="9" s="1"/>
  <c r="F10" i="9" s="1"/>
  <c r="C208" i="2" s="1"/>
  <c r="E78" i="8"/>
  <c r="E22" i="5"/>
  <c r="E24" i="5" s="1"/>
  <c r="C44" i="6"/>
  <c r="B31" i="7" s="1"/>
  <c r="D34" i="7"/>
  <c r="R52" i="8"/>
  <c r="R53" i="8"/>
  <c r="E70" i="8"/>
  <c r="E71" i="8" s="1"/>
  <c r="E15" i="8"/>
  <c r="H14" i="6"/>
  <c r="G15" i="6"/>
  <c r="G24" i="6" s="1"/>
  <c r="L40" i="8" l="1"/>
  <c r="L42" i="8" s="1"/>
  <c r="L43" i="8" s="1"/>
  <c r="M39" i="8" s="1"/>
  <c r="L34" i="8"/>
  <c r="L36" i="8" s="1"/>
  <c r="L37" i="8" s="1"/>
  <c r="M33" i="8" s="1"/>
  <c r="C45" i="6"/>
  <c r="I29" i="7"/>
  <c r="J45" i="8"/>
  <c r="B32" i="7"/>
  <c r="B34" i="7" s="1"/>
  <c r="B36" i="7" s="1"/>
  <c r="F9" i="8"/>
  <c r="E25" i="5"/>
  <c r="E81" i="8" s="1"/>
  <c r="K21" i="8"/>
  <c r="K22" i="8" s="1"/>
  <c r="K23" i="8" s="1"/>
  <c r="L19" i="8" s="1"/>
  <c r="K13" i="6"/>
  <c r="R54" i="8"/>
  <c r="R55" i="8" s="1"/>
  <c r="I14" i="6"/>
  <c r="H15" i="6"/>
  <c r="H24" i="6" s="1"/>
  <c r="Q28" i="8"/>
  <c r="Q29" i="8" s="1"/>
  <c r="R25" i="8" s="1"/>
  <c r="Q27" i="8"/>
  <c r="Q26" i="8"/>
  <c r="F11" i="8"/>
  <c r="E68" i="8"/>
  <c r="E30" i="7"/>
  <c r="D208" i="2"/>
  <c r="N39" i="8" l="1"/>
  <c r="M41" i="8"/>
  <c r="N41" i="8" s="1"/>
  <c r="M40" i="8"/>
  <c r="M42" i="8" s="1"/>
  <c r="M35" i="8"/>
  <c r="N35" i="8" s="1"/>
  <c r="N33" i="8"/>
  <c r="M34" i="8"/>
  <c r="M36" i="8" s="1"/>
  <c r="E27" i="5"/>
  <c r="F43" i="6" s="1"/>
  <c r="F44" i="6" s="1"/>
  <c r="E31" i="7" s="1"/>
  <c r="L21" i="8"/>
  <c r="L22" i="8" s="1"/>
  <c r="L23" i="8" s="1"/>
  <c r="M19" i="8" s="1"/>
  <c r="N40" i="8"/>
  <c r="C35" i="7"/>
  <c r="C36" i="7" s="1"/>
  <c r="J47" i="8"/>
  <c r="J49" i="8"/>
  <c r="J48" i="8"/>
  <c r="J14" i="6"/>
  <c r="I15" i="6"/>
  <c r="I24" i="6" s="1"/>
  <c r="D42" i="6"/>
  <c r="D45" i="6" s="1"/>
  <c r="C47" i="6"/>
  <c r="C5" i="6" s="1"/>
  <c r="F36" i="6"/>
  <c r="F37" i="6" s="1"/>
  <c r="F39" i="6" s="1"/>
  <c r="E75" i="8"/>
  <c r="G5" i="8"/>
  <c r="F13" i="8"/>
  <c r="F69" i="8" s="1"/>
  <c r="F12" i="8"/>
  <c r="L13" i="6"/>
  <c r="E28" i="5" l="1"/>
  <c r="E4" i="7"/>
  <c r="E15" i="7" s="1"/>
  <c r="N34" i="8"/>
  <c r="M13" i="6"/>
  <c r="B84" i="8"/>
  <c r="C10" i="6"/>
  <c r="C26" i="6" s="1"/>
  <c r="C49" i="6" s="1"/>
  <c r="F78" i="8"/>
  <c r="F22" i="5"/>
  <c r="F24" i="5" s="1"/>
  <c r="D35" i="7"/>
  <c r="D36" i="7" s="1"/>
  <c r="N36" i="8"/>
  <c r="M37" i="8"/>
  <c r="N37" i="8" s="1"/>
  <c r="O33" i="8" s="1"/>
  <c r="F14" i="8"/>
  <c r="E42" i="6"/>
  <c r="E45" i="6" s="1"/>
  <c r="D47" i="6"/>
  <c r="D5" i="6" s="1"/>
  <c r="C38" i="7" s="1"/>
  <c r="B38" i="7"/>
  <c r="K14" i="6"/>
  <c r="J15" i="6"/>
  <c r="J24" i="6" s="1"/>
  <c r="N42" i="8"/>
  <c r="M43" i="8"/>
  <c r="N43" i="8" s="1"/>
  <c r="O39" i="8" s="1"/>
  <c r="E32" i="7"/>
  <c r="E34" i="7" s="1"/>
  <c r="M21" i="8"/>
  <c r="G6" i="8"/>
  <c r="G7" i="8"/>
  <c r="J29" i="7"/>
  <c r="K45" i="8"/>
  <c r="G8" i="8" l="1"/>
  <c r="F42" i="6"/>
  <c r="F45" i="6" s="1"/>
  <c r="E47" i="6"/>
  <c r="E5" i="6" s="1"/>
  <c r="D38" i="7" s="1"/>
  <c r="F70" i="8"/>
  <c r="F15" i="8"/>
  <c r="O34" i="8"/>
  <c r="O35" i="8"/>
  <c r="F25" i="5"/>
  <c r="F27" i="5" s="1"/>
  <c r="O40" i="8"/>
  <c r="O41" i="8"/>
  <c r="K47" i="8"/>
  <c r="K49" i="8"/>
  <c r="K48" i="8"/>
  <c r="N13" i="6"/>
  <c r="C84" i="8"/>
  <c r="D10" i="6"/>
  <c r="D26" i="6" s="1"/>
  <c r="D49" i="6" s="1"/>
  <c r="N21" i="8"/>
  <c r="M22" i="8"/>
  <c r="L14" i="6"/>
  <c r="K15" i="6"/>
  <c r="K24" i="6" s="1"/>
  <c r="E35" i="7"/>
  <c r="E36" i="7" s="1"/>
  <c r="O36" i="8" l="1"/>
  <c r="O37" i="8" s="1"/>
  <c r="P33" i="8" s="1"/>
  <c r="P34" i="8" s="1"/>
  <c r="G11" i="8"/>
  <c r="F68" i="8"/>
  <c r="K29" i="7"/>
  <c r="L45" i="8"/>
  <c r="N22" i="8"/>
  <c r="M23" i="8"/>
  <c r="O42" i="8"/>
  <c r="O43" i="8" s="1"/>
  <c r="P39" i="8" s="1"/>
  <c r="G42" i="6"/>
  <c r="F47" i="6"/>
  <c r="F5" i="6" s="1"/>
  <c r="E38" i="7" s="1"/>
  <c r="F4" i="7"/>
  <c r="F15" i="7" s="1"/>
  <c r="F28" i="5"/>
  <c r="G43" i="6"/>
  <c r="G44" i="6" s="1"/>
  <c r="F31" i="7" s="1"/>
  <c r="G9" i="8"/>
  <c r="F35" i="7"/>
  <c r="M14" i="6"/>
  <c r="L15" i="6"/>
  <c r="L24" i="6" s="1"/>
  <c r="F30" i="7"/>
  <c r="F71" i="8"/>
  <c r="F81" i="8" s="1"/>
  <c r="D84" i="8"/>
  <c r="E10" i="6"/>
  <c r="E26" i="6" s="1"/>
  <c r="E49" i="6" s="1"/>
  <c r="O13" i="6"/>
  <c r="P35" i="8" l="1"/>
  <c r="P36" i="8" s="1"/>
  <c r="P37" i="8" s="1"/>
  <c r="Q33" i="8" s="1"/>
  <c r="H5" i="8"/>
  <c r="G36" i="6"/>
  <c r="G37" i="6" s="1"/>
  <c r="G39" i="6" s="1"/>
  <c r="F75" i="8"/>
  <c r="N14" i="6"/>
  <c r="M15" i="6"/>
  <c r="M24" i="6" s="1"/>
  <c r="P40" i="8"/>
  <c r="P41" i="8"/>
  <c r="N19" i="8"/>
  <c r="N23" i="8"/>
  <c r="O19" i="8" s="1"/>
  <c r="P13" i="6"/>
  <c r="L49" i="8"/>
  <c r="L47" i="8"/>
  <c r="L48" i="8"/>
  <c r="G13" i="8"/>
  <c r="G69" i="8" s="1"/>
  <c r="G12" i="8"/>
  <c r="F32" i="7"/>
  <c r="F34" i="7" s="1"/>
  <c r="F36" i="7" s="1"/>
  <c r="E84" i="8"/>
  <c r="F10" i="6"/>
  <c r="F26" i="6" s="1"/>
  <c r="F49" i="6" s="1"/>
  <c r="G45" i="6"/>
  <c r="H42" i="6" s="1"/>
  <c r="G35" i="7" l="1"/>
  <c r="G78" i="8"/>
  <c r="G22" i="5"/>
  <c r="G24" i="5" s="1"/>
  <c r="P42" i="8"/>
  <c r="P43" i="8" s="1"/>
  <c r="Q39" i="8" s="1"/>
  <c r="Q34" i="8"/>
  <c r="Q35" i="8"/>
  <c r="G47" i="6"/>
  <c r="G5" i="6" s="1"/>
  <c r="F38" i="7" s="1"/>
  <c r="O20" i="8"/>
  <c r="O21" i="8"/>
  <c r="H6" i="8"/>
  <c r="H7" i="8"/>
  <c r="O14" i="6"/>
  <c r="N15" i="6"/>
  <c r="M45" i="8"/>
  <c r="L29" i="7"/>
  <c r="Q13" i="6"/>
  <c r="G14" i="8"/>
  <c r="Q36" i="8" l="1"/>
  <c r="Q37" i="8" s="1"/>
  <c r="R33" i="8" s="1"/>
  <c r="R34" i="8" s="1"/>
  <c r="H8" i="8"/>
  <c r="H9" i="8" s="1"/>
  <c r="M49" i="8"/>
  <c r="M47" i="8"/>
  <c r="N47" i="8" s="1"/>
  <c r="M48" i="8"/>
  <c r="N48" i="8" s="1"/>
  <c r="P14" i="6"/>
  <c r="O15" i="6"/>
  <c r="I5" i="8"/>
  <c r="Q40" i="8"/>
  <c r="Q41" i="8"/>
  <c r="O22" i="8"/>
  <c r="O23" i="8" s="1"/>
  <c r="P19" i="8" s="1"/>
  <c r="G25" i="5"/>
  <c r="G27" i="5" s="1"/>
  <c r="G70" i="8"/>
  <c r="G15" i="8"/>
  <c r="R13" i="6"/>
  <c r="F84" i="8"/>
  <c r="G10" i="6"/>
  <c r="G26" i="6" s="1"/>
  <c r="G49" i="6" s="1"/>
  <c r="R35" i="8" l="1"/>
  <c r="R36" i="8" s="1"/>
  <c r="R37" i="8" s="1"/>
  <c r="G4" i="7"/>
  <c r="G15" i="7" s="1"/>
  <c r="G28" i="5"/>
  <c r="H43" i="6"/>
  <c r="I7" i="8"/>
  <c r="I6" i="8"/>
  <c r="G30" i="7"/>
  <c r="G71" i="8"/>
  <c r="G81" i="8" s="1"/>
  <c r="H11" i="8"/>
  <c r="G68" i="8"/>
  <c r="Q14" i="6"/>
  <c r="P15" i="6"/>
  <c r="P20" i="8"/>
  <c r="P21" i="8"/>
  <c r="N49" i="8"/>
  <c r="O45" i="8" s="1"/>
  <c r="N45" i="8"/>
  <c r="M29" i="7"/>
  <c r="Q42" i="8"/>
  <c r="Q43" i="8" s="1"/>
  <c r="R39" i="8" s="1"/>
  <c r="I8" i="8" l="1"/>
  <c r="R41" i="8"/>
  <c r="R40" i="8"/>
  <c r="H36" i="6"/>
  <c r="H37" i="6" s="1"/>
  <c r="H39" i="6" s="1"/>
  <c r="G75" i="8"/>
  <c r="N29" i="7"/>
  <c r="P22" i="8"/>
  <c r="P23" i="8" s="1"/>
  <c r="Q19" i="8" s="1"/>
  <c r="I9" i="8"/>
  <c r="H13" i="8"/>
  <c r="H69" i="8" s="1"/>
  <c r="H12" i="8"/>
  <c r="H44" i="6"/>
  <c r="G31" i="7" s="1"/>
  <c r="G32" i="7" s="1"/>
  <c r="G34" i="7" s="1"/>
  <c r="G36" i="7" s="1"/>
  <c r="R14" i="6"/>
  <c r="R15" i="6" s="1"/>
  <c r="Q15" i="6"/>
  <c r="R42" i="8" l="1"/>
  <c r="R43" i="8" s="1"/>
  <c r="H14" i="8"/>
  <c r="H70" i="8" s="1"/>
  <c r="H30" i="7" s="1"/>
  <c r="H45" i="6"/>
  <c r="I42" i="6" s="1"/>
  <c r="H35" i="7"/>
  <c r="J5" i="8"/>
  <c r="Q20" i="8"/>
  <c r="Q21" i="8"/>
  <c r="H78" i="8"/>
  <c r="H71" i="8"/>
  <c r="H22" i="5"/>
  <c r="H24" i="5" s="1"/>
  <c r="H15" i="8" l="1"/>
  <c r="H47" i="6"/>
  <c r="H5" i="6" s="1"/>
  <c r="G38" i="7" s="1"/>
  <c r="Q22" i="8"/>
  <c r="Q23" i="8" s="1"/>
  <c r="R19" i="8" s="1"/>
  <c r="I11" i="8"/>
  <c r="H68" i="8"/>
  <c r="H25" i="5"/>
  <c r="H81" i="8" s="1"/>
  <c r="J7" i="8"/>
  <c r="J6" i="8"/>
  <c r="G84" i="8"/>
  <c r="H10" i="6"/>
  <c r="H26" i="6" s="1"/>
  <c r="H49" i="6" s="1"/>
  <c r="H27" i="5" l="1"/>
  <c r="H4" i="7" s="1"/>
  <c r="H15" i="7" s="1"/>
  <c r="J8" i="8"/>
  <c r="I36" i="6"/>
  <c r="I37" i="6" s="1"/>
  <c r="I39" i="6" s="1"/>
  <c r="H75" i="8"/>
  <c r="I13" i="8"/>
  <c r="I69" i="8" s="1"/>
  <c r="I12" i="8"/>
  <c r="R20" i="8"/>
  <c r="R21" i="8"/>
  <c r="I43" i="6" l="1"/>
  <c r="H28" i="5"/>
  <c r="I14" i="8"/>
  <c r="I70" i="8" s="1"/>
  <c r="I30" i="7" s="1"/>
  <c r="I78" i="8"/>
  <c r="I22" i="5"/>
  <c r="I24" i="5" s="1"/>
  <c r="J9" i="8"/>
  <c r="I44" i="6"/>
  <c r="H31" i="7" s="1"/>
  <c r="H32" i="7" s="1"/>
  <c r="H34" i="7" s="1"/>
  <c r="H36" i="7" s="1"/>
  <c r="R22" i="8"/>
  <c r="R23" i="8" s="1"/>
  <c r="I15" i="8" l="1"/>
  <c r="I68" i="8" s="1"/>
  <c r="I71" i="8"/>
  <c r="I35" i="7"/>
  <c r="K5" i="8"/>
  <c r="I25" i="5"/>
  <c r="I27" i="5" s="1"/>
  <c r="I45" i="6"/>
  <c r="J11" i="8" l="1"/>
  <c r="I28" i="5"/>
  <c r="I4" i="7"/>
  <c r="I15" i="7" s="1"/>
  <c r="J43" i="6"/>
  <c r="J44" i="6" s="1"/>
  <c r="I31" i="7" s="1"/>
  <c r="I32" i="7" s="1"/>
  <c r="I81" i="8"/>
  <c r="K6" i="8"/>
  <c r="K7" i="8"/>
  <c r="J13" i="8"/>
  <c r="J69" i="8" s="1"/>
  <c r="J12" i="8"/>
  <c r="J42" i="6"/>
  <c r="I47" i="6"/>
  <c r="I5" i="6" s="1"/>
  <c r="J36" i="6"/>
  <c r="J37" i="6" s="1"/>
  <c r="J39" i="6" s="1"/>
  <c r="I75" i="8"/>
  <c r="J14" i="8" l="1"/>
  <c r="J70" i="8" s="1"/>
  <c r="J30" i="7" s="1"/>
  <c r="J78" i="8"/>
  <c r="J22" i="5"/>
  <c r="J24" i="5" s="1"/>
  <c r="K8" i="8"/>
  <c r="J15" i="8"/>
  <c r="H84" i="8"/>
  <c r="I10" i="6"/>
  <c r="I26" i="6" s="1"/>
  <c r="I49" i="6" s="1"/>
  <c r="H38" i="7"/>
  <c r="I34" i="7"/>
  <c r="I36" i="7" s="1"/>
  <c r="J45" i="6"/>
  <c r="K42" i="6" s="1"/>
  <c r="J71" i="8" l="1"/>
  <c r="J47" i="6"/>
  <c r="J5" i="6" s="1"/>
  <c r="I84" i="8" s="1"/>
  <c r="J25" i="5"/>
  <c r="J27" i="5" s="1"/>
  <c r="J35" i="7"/>
  <c r="K11" i="8"/>
  <c r="J68" i="8"/>
  <c r="K9" i="8"/>
  <c r="I38" i="7" l="1"/>
  <c r="J10" i="6"/>
  <c r="J26" i="6" s="1"/>
  <c r="J49" i="6" s="1"/>
  <c r="J81" i="8"/>
  <c r="K36" i="6"/>
  <c r="K37" i="6" s="1"/>
  <c r="K39" i="6" s="1"/>
  <c r="J75" i="8"/>
  <c r="K12" i="8"/>
  <c r="K13" i="8"/>
  <c r="K69" i="8" s="1"/>
  <c r="J28" i="5"/>
  <c r="J4" i="7"/>
  <c r="J15" i="7" s="1"/>
  <c r="K43" i="6"/>
  <c r="L5" i="8"/>
  <c r="K44" i="6" l="1"/>
  <c r="J31" i="7" s="1"/>
  <c r="J32" i="7" s="1"/>
  <c r="J34" i="7" s="1"/>
  <c r="J36" i="7" s="1"/>
  <c r="K22" i="5"/>
  <c r="K24" i="5" s="1"/>
  <c r="K78" i="8"/>
  <c r="K14" i="8"/>
  <c r="L6" i="8"/>
  <c r="L7" i="8"/>
  <c r="K45" i="6" l="1"/>
  <c r="K70" i="8"/>
  <c r="K15" i="8"/>
  <c r="K35" i="7"/>
  <c r="K25" i="5"/>
  <c r="K27" i="5" s="1"/>
  <c r="L8" i="8"/>
  <c r="L42" i="6" l="1"/>
  <c r="K47" i="6"/>
  <c r="K5" i="6" s="1"/>
  <c r="K28" i="5"/>
  <c r="K4" i="7"/>
  <c r="K15" i="7" s="1"/>
  <c r="L43" i="6"/>
  <c r="L11" i="8"/>
  <c r="K68" i="8"/>
  <c r="L9" i="8"/>
  <c r="K30" i="7"/>
  <c r="K71" i="8"/>
  <c r="K81" i="8" s="1"/>
  <c r="J38" i="7" l="1"/>
  <c r="J84" i="8"/>
  <c r="K10" i="6"/>
  <c r="K26" i="6" s="1"/>
  <c r="K49" i="6" s="1"/>
  <c r="L44" i="6"/>
  <c r="K31" i="7" s="1"/>
  <c r="K32" i="7" s="1"/>
  <c r="K34" i="7" s="1"/>
  <c r="K36" i="7" s="1"/>
  <c r="M5" i="8"/>
  <c r="L36" i="6"/>
  <c r="L37" i="6" s="1"/>
  <c r="L39" i="6" s="1"/>
  <c r="K75" i="8"/>
  <c r="L12" i="8"/>
  <c r="L13" i="8"/>
  <c r="L69" i="8" s="1"/>
  <c r="L14" i="8" l="1"/>
  <c r="L70" i="8" s="1"/>
  <c r="L30" i="7" s="1"/>
  <c r="L35" i="7"/>
  <c r="N5" i="8"/>
  <c r="M6" i="8"/>
  <c r="M7" i="8"/>
  <c r="L45" i="6"/>
  <c r="M42" i="6" s="1"/>
  <c r="L78" i="8"/>
  <c r="L22" i="5"/>
  <c r="L24" i="5" s="1"/>
  <c r="L15" i="8" l="1"/>
  <c r="L71" i="8"/>
  <c r="L47" i="6"/>
  <c r="L5" i="6" s="1"/>
  <c r="N7" i="8"/>
  <c r="M8" i="8"/>
  <c r="N6" i="8"/>
  <c r="M11" i="8"/>
  <c r="L68" i="8"/>
  <c r="L25" i="5"/>
  <c r="L81" i="8" s="1"/>
  <c r="M36" i="6" l="1"/>
  <c r="M37" i="6" s="1"/>
  <c r="M39" i="6" s="1"/>
  <c r="L75" i="8"/>
  <c r="N8" i="8"/>
  <c r="M9" i="8"/>
  <c r="K84" i="8"/>
  <c r="L10" i="6"/>
  <c r="L26" i="6" s="1"/>
  <c r="L49" i="6" s="1"/>
  <c r="K38" i="7"/>
  <c r="M12" i="8"/>
  <c r="M13" i="8"/>
  <c r="N11" i="8"/>
  <c r="L27" i="5"/>
  <c r="N13" i="8" l="1"/>
  <c r="M69" i="8"/>
  <c r="M14" i="8"/>
  <c r="N12" i="8"/>
  <c r="N9" i="8"/>
  <c r="O5" i="8" s="1"/>
  <c r="L28" i="5"/>
  <c r="L4" i="7"/>
  <c r="L15" i="7" s="1"/>
  <c r="M43" i="6"/>
  <c r="M44" i="6" l="1"/>
  <c r="L31" i="7" s="1"/>
  <c r="L32" i="7" s="1"/>
  <c r="L34" i="7" s="1"/>
  <c r="L36" i="7" s="1"/>
  <c r="O7" i="8"/>
  <c r="O6" i="8"/>
  <c r="N14" i="8"/>
  <c r="M15" i="8"/>
  <c r="M70" i="8"/>
  <c r="M71" i="8" s="1"/>
  <c r="M78" i="8"/>
  <c r="M22" i="5"/>
  <c r="M24" i="5" s="1"/>
  <c r="N69" i="8"/>
  <c r="O8" i="8" l="1"/>
  <c r="O9" i="8" s="1"/>
  <c r="M45" i="6"/>
  <c r="N42" i="6" s="1"/>
  <c r="M35" i="7"/>
  <c r="M30" i="7"/>
  <c r="N70" i="8"/>
  <c r="N71" i="8" s="1"/>
  <c r="N15" i="8"/>
  <c r="O11" i="8" s="1"/>
  <c r="M68" i="8"/>
  <c r="N78" i="8"/>
  <c r="N22" i="5"/>
  <c r="N24" i="5" s="1"/>
  <c r="M25" i="5"/>
  <c r="M81" i="8" s="1"/>
  <c r="M47" i="6" l="1"/>
  <c r="M5" i="6" s="1"/>
  <c r="L84" i="8" s="1"/>
  <c r="N68" i="8"/>
  <c r="M75" i="8"/>
  <c r="O13" i="8"/>
  <c r="O12" i="8"/>
  <c r="N30" i="7"/>
  <c r="M27" i="5"/>
  <c r="N25" i="5"/>
  <c r="N81" i="8" s="1"/>
  <c r="P5" i="8"/>
  <c r="L38" i="7" l="1"/>
  <c r="M10" i="6"/>
  <c r="M26" i="6" s="1"/>
  <c r="M49" i="6" s="1"/>
  <c r="O14" i="8"/>
  <c r="O70" i="8" s="1"/>
  <c r="O30" i="7" s="1"/>
  <c r="N27" i="5"/>
  <c r="B96" i="8" s="1"/>
  <c r="F52" i="9"/>
  <c r="B26" i="9"/>
  <c r="F43" i="3"/>
  <c r="B196" i="2"/>
  <c r="F197" i="2" s="1"/>
  <c r="N75" i="8"/>
  <c r="P7" i="8"/>
  <c r="P6" i="8"/>
  <c r="M4" i="7"/>
  <c r="M15" i="7" s="1"/>
  <c r="M28" i="5"/>
  <c r="N43" i="6"/>
  <c r="O15" i="8" l="1"/>
  <c r="F41" i="3"/>
  <c r="N28" i="5"/>
  <c r="N4" i="7"/>
  <c r="N15" i="7" s="1"/>
  <c r="B97" i="8" s="1"/>
  <c r="N32" i="6"/>
  <c r="N33" i="6" s="1"/>
  <c r="C49" i="3"/>
  <c r="P11" i="8"/>
  <c r="N44" i="6"/>
  <c r="M31" i="7" s="1"/>
  <c r="P8" i="8"/>
  <c r="F42" i="3" l="1"/>
  <c r="N36" i="6"/>
  <c r="N37" i="6" s="1"/>
  <c r="N39" i="6" s="1"/>
  <c r="N45" i="6"/>
  <c r="O42" i="6" s="1"/>
  <c r="P13" i="8"/>
  <c r="P12" i="8"/>
  <c r="P9" i="8"/>
  <c r="N31" i="7"/>
  <c r="M32" i="7"/>
  <c r="M34" i="7" s="1"/>
  <c r="M36" i="7" s="1"/>
  <c r="P14" i="8" l="1"/>
  <c r="P15" i="8" s="1"/>
  <c r="Q11" i="8" s="1"/>
  <c r="Q12" i="8" s="1"/>
  <c r="N47" i="6"/>
  <c r="F55" i="9"/>
  <c r="N32" i="7"/>
  <c r="N34" i="7" s="1"/>
  <c r="N36" i="7" s="1"/>
  <c r="Q5" i="8"/>
  <c r="P70" i="8" l="1"/>
  <c r="Q13" i="8"/>
  <c r="Q14" i="8" s="1"/>
  <c r="Q15" i="8" s="1"/>
  <c r="R11" i="8" s="1"/>
  <c r="Q6" i="8"/>
  <c r="Q7" i="8"/>
  <c r="O35" i="7"/>
  <c r="N5" i="6"/>
  <c r="O46" i="8"/>
  <c r="M116" i="9"/>
  <c r="M150" i="9"/>
  <c r="M145" i="9"/>
  <c r="M129" i="9"/>
  <c r="M124" i="9"/>
  <c r="M119" i="9"/>
  <c r="M140" i="9"/>
  <c r="M138" i="9"/>
  <c r="M136" i="9"/>
  <c r="M134" i="9"/>
  <c r="M120" i="9"/>
  <c r="F56" i="9"/>
  <c r="M133" i="9"/>
  <c r="M123" i="9"/>
  <c r="M115" i="9"/>
  <c r="M127" i="9"/>
  <c r="M139" i="9"/>
  <c r="M126" i="9"/>
  <c r="M148" i="9"/>
  <c r="M137" i="9"/>
  <c r="M128" i="9"/>
  <c r="M117" i="9"/>
  <c r="M147" i="9"/>
  <c r="M114" i="9"/>
  <c r="M146" i="9"/>
  <c r="M125" i="9"/>
  <c r="M143" i="9"/>
  <c r="M135" i="9"/>
  <c r="M118" i="9"/>
  <c r="M130" i="9"/>
  <c r="M113" i="9"/>
  <c r="M149" i="9"/>
  <c r="M144" i="9"/>
  <c r="P30" i="7"/>
  <c r="O49" i="8" l="1"/>
  <c r="O48" i="8"/>
  <c r="O47" i="8"/>
  <c r="N84" i="8"/>
  <c r="B98" i="8"/>
  <c r="B27" i="9"/>
  <c r="M84" i="8"/>
  <c r="F53" i="9"/>
  <c r="F54" i="9" s="1"/>
  <c r="F65" i="9" s="1"/>
  <c r="N10" i="6"/>
  <c r="G42" i="9"/>
  <c r="G41" i="9"/>
  <c r="F40" i="9"/>
  <c r="H42" i="9"/>
  <c r="B38" i="9"/>
  <c r="D41" i="9"/>
  <c r="E38" i="9"/>
  <c r="D40" i="9"/>
  <c r="F36" i="9"/>
  <c r="C42" i="9"/>
  <c r="E40" i="9"/>
  <c r="F37" i="9"/>
  <c r="H37" i="9"/>
  <c r="E41" i="9"/>
  <c r="F38" i="9"/>
  <c r="C36" i="9"/>
  <c r="H40" i="9"/>
  <c r="B42" i="9"/>
  <c r="H38" i="9"/>
  <c r="C40" i="9"/>
  <c r="D38" i="9"/>
  <c r="C41" i="9"/>
  <c r="C38" i="9"/>
  <c r="B37" i="9"/>
  <c r="B40" i="9"/>
  <c r="C37" i="9"/>
  <c r="H36" i="9"/>
  <c r="G38" i="9"/>
  <c r="F41" i="9"/>
  <c r="E36" i="9"/>
  <c r="E42" i="9"/>
  <c r="B36" i="9"/>
  <c r="D37" i="9"/>
  <c r="E37" i="9"/>
  <c r="B41" i="9"/>
  <c r="G36" i="9"/>
  <c r="H41" i="9"/>
  <c r="D36" i="9"/>
  <c r="F42" i="9"/>
  <c r="D42" i="9"/>
  <c r="G40" i="9"/>
  <c r="G37" i="9"/>
  <c r="E208" i="2"/>
  <c r="F208" i="2" s="1"/>
  <c r="G208" i="2" s="1"/>
  <c r="H208" i="2" s="1"/>
  <c r="B209" i="2" s="1"/>
  <c r="M38" i="7"/>
  <c r="N38" i="7"/>
  <c r="G48" i="3" s="1"/>
  <c r="R12" i="8"/>
  <c r="R13" i="8"/>
  <c r="Q8" i="8"/>
  <c r="N16" i="6" l="1"/>
  <c r="O69" i="8"/>
  <c r="O71" i="8" s="1"/>
  <c r="Q70" i="8"/>
  <c r="Q9" i="8"/>
  <c r="C209" i="2"/>
  <c r="D209" i="2"/>
  <c r="P45" i="8"/>
  <c r="O29" i="7"/>
  <c r="O68" i="8"/>
  <c r="C158" i="9"/>
  <c r="C160" i="9"/>
  <c r="F157" i="9"/>
  <c r="D161" i="9"/>
  <c r="D158" i="9"/>
  <c r="F158" i="9"/>
  <c r="F160" i="9"/>
  <c r="C157" i="9"/>
  <c r="F161" i="9"/>
  <c r="E160" i="9"/>
  <c r="B157" i="9"/>
  <c r="E161" i="9"/>
  <c r="D157" i="9"/>
  <c r="B158" i="9"/>
  <c r="E158" i="9"/>
  <c r="C161" i="9"/>
  <c r="E157" i="9"/>
  <c r="B161" i="9"/>
  <c r="D160" i="9"/>
  <c r="B160" i="9"/>
  <c r="R14" i="8"/>
  <c r="R15" i="8" s="1"/>
  <c r="F74" i="9"/>
  <c r="F72" i="9"/>
  <c r="F73" i="9"/>
  <c r="F70" i="9"/>
  <c r="F76" i="9"/>
  <c r="F77" i="9"/>
  <c r="F71" i="9"/>
  <c r="F75" i="9"/>
  <c r="B100" i="8"/>
  <c r="B103" i="8"/>
  <c r="O22" i="5" l="1"/>
  <c r="O24" i="5" s="1"/>
  <c r="O78" i="8"/>
  <c r="O16" i="6"/>
  <c r="N24" i="6"/>
  <c r="N26" i="6" s="1"/>
  <c r="N49" i="6" s="1"/>
  <c r="G47" i="3" s="1"/>
  <c r="F81" i="9"/>
  <c r="M103" i="9"/>
  <c r="F92" i="9" s="1"/>
  <c r="F82" i="9"/>
  <c r="M104" i="9"/>
  <c r="F93" i="9" s="1"/>
  <c r="G52" i="9"/>
  <c r="G43" i="3"/>
  <c r="O75" i="8"/>
  <c r="O32" i="6"/>
  <c r="O33" i="6" s="1"/>
  <c r="F84" i="9"/>
  <c r="M106" i="9"/>
  <c r="F95" i="9" s="1"/>
  <c r="F83" i="9"/>
  <c r="M105" i="9"/>
  <c r="F94" i="9" s="1"/>
  <c r="F85" i="9"/>
  <c r="M107" i="9"/>
  <c r="F96" i="9" s="1"/>
  <c r="O25" i="5"/>
  <c r="O27" i="5" s="1"/>
  <c r="B101" i="8"/>
  <c r="R5" i="8"/>
  <c r="F88" i="9"/>
  <c r="M110" i="9"/>
  <c r="F99" i="9" s="1"/>
  <c r="F87" i="9"/>
  <c r="M109" i="9"/>
  <c r="F98" i="9" s="1"/>
  <c r="E209" i="2"/>
  <c r="F209" i="2" s="1"/>
  <c r="G209" i="2" s="1"/>
  <c r="H209" i="2" s="1"/>
  <c r="B210" i="2" s="1"/>
  <c r="F86" i="9"/>
  <c r="M108" i="9"/>
  <c r="F97" i="9" s="1"/>
  <c r="Q30" i="7"/>
  <c r="P16" i="6" l="1"/>
  <c r="O24" i="6"/>
  <c r="O81" i="8"/>
  <c r="O36" i="6"/>
  <c r="O37" i="6" s="1"/>
  <c r="O39" i="6" s="1"/>
  <c r="C96" i="8"/>
  <c r="O28" i="5"/>
  <c r="G41" i="3"/>
  <c r="O4" i="7"/>
  <c r="O15" i="7" s="1"/>
  <c r="O43" i="6"/>
  <c r="R7" i="8"/>
  <c r="R6" i="8"/>
  <c r="C210" i="2"/>
  <c r="D210" i="2"/>
  <c r="Q16" i="6" l="1"/>
  <c r="P24" i="6"/>
  <c r="R8" i="8"/>
  <c r="R70" i="8" s="1"/>
  <c r="R30" i="7" s="1"/>
  <c r="E210" i="2"/>
  <c r="F210" i="2" s="1"/>
  <c r="G210" i="2" s="1"/>
  <c r="H210" i="2" s="1"/>
  <c r="B211" i="2" s="1"/>
  <c r="C211" i="2" s="1"/>
  <c r="O44" i="6"/>
  <c r="O31" i="7" s="1"/>
  <c r="C97" i="8"/>
  <c r="G42" i="3"/>
  <c r="D211" i="2" l="1"/>
  <c r="E211" i="2" s="1"/>
  <c r="F211" i="2" s="1"/>
  <c r="G211" i="2" s="1"/>
  <c r="H211" i="2" s="1"/>
  <c r="B212" i="2" s="1"/>
  <c r="R16" i="6"/>
  <c r="R24" i="6" s="1"/>
  <c r="Q24" i="6"/>
  <c r="R9" i="8"/>
  <c r="O45" i="6"/>
  <c r="G55" i="9"/>
  <c r="O32" i="7"/>
  <c r="O34" i="7" s="1"/>
  <c r="O36" i="7" s="1"/>
  <c r="P35" i="7" l="1"/>
  <c r="O5" i="6"/>
  <c r="P46" i="8"/>
  <c r="N150" i="9"/>
  <c r="N145" i="9"/>
  <c r="N129" i="9"/>
  <c r="N124" i="9"/>
  <c r="N148" i="9"/>
  <c r="N143" i="9"/>
  <c r="N139" i="9"/>
  <c r="N137" i="9"/>
  <c r="N135" i="9"/>
  <c r="N133" i="9"/>
  <c r="N126" i="9"/>
  <c r="N147" i="9"/>
  <c r="N127" i="9"/>
  <c r="N123" i="9"/>
  <c r="N140" i="9"/>
  <c r="N136" i="9"/>
  <c r="N134" i="9"/>
  <c r="N146" i="9"/>
  <c r="N125" i="9"/>
  <c r="N128" i="9"/>
  <c r="N149" i="9"/>
  <c r="N138" i="9"/>
  <c r="N130" i="9"/>
  <c r="N144" i="9"/>
  <c r="G56" i="9"/>
  <c r="P42" i="6"/>
  <c r="O47" i="6"/>
  <c r="C212" i="2"/>
  <c r="D212" i="2"/>
  <c r="E212" i="2" l="1"/>
  <c r="F212" i="2" s="1"/>
  <c r="G212" i="2" s="1"/>
  <c r="H212" i="2" s="1"/>
  <c r="B213" i="2" s="1"/>
  <c r="C213" i="2" s="1"/>
  <c r="C98" i="8"/>
  <c r="G53" i="9"/>
  <c r="G54" i="9" s="1"/>
  <c r="G65" i="9" s="1"/>
  <c r="O84" i="8"/>
  <c r="O10" i="6"/>
  <c r="O26" i="6" s="1"/>
  <c r="O49" i="6" s="1"/>
  <c r="P48" i="8"/>
  <c r="P47" i="8"/>
  <c r="P49" i="8"/>
  <c r="O38" i="7"/>
  <c r="P69" i="8" l="1"/>
  <c r="D213" i="2"/>
  <c r="E213" i="2" s="1"/>
  <c r="F213" i="2" s="1"/>
  <c r="G213" i="2" s="1"/>
  <c r="H213" i="2" s="1"/>
  <c r="B214" i="2" s="1"/>
  <c r="C100" i="8"/>
  <c r="C103" i="8"/>
  <c r="Q45" i="8"/>
  <c r="P29" i="7"/>
  <c r="P68" i="8"/>
  <c r="P78" i="8"/>
  <c r="P80" i="8" s="1"/>
  <c r="P71" i="8"/>
  <c r="P22" i="5"/>
  <c r="P24" i="5" s="1"/>
  <c r="G73" i="9"/>
  <c r="G71" i="9"/>
  <c r="G75" i="9"/>
  <c r="G76" i="9"/>
  <c r="G70" i="9"/>
  <c r="G77" i="9"/>
  <c r="G74" i="9"/>
  <c r="G72" i="9"/>
  <c r="C214" i="2" l="1"/>
  <c r="D214" i="2"/>
  <c r="G84" i="9"/>
  <c r="N116" i="9"/>
  <c r="G95" i="9" s="1"/>
  <c r="P25" i="5"/>
  <c r="P81" i="8" s="1"/>
  <c r="P83" i="8" s="1"/>
  <c r="G85" i="9"/>
  <c r="N117" i="9"/>
  <c r="G96" i="9" s="1"/>
  <c r="G87" i="9"/>
  <c r="N119" i="9"/>
  <c r="G98" i="9" s="1"/>
  <c r="G83" i="9"/>
  <c r="N115" i="9"/>
  <c r="G94" i="9" s="1"/>
  <c r="H52" i="9"/>
  <c r="H43" i="3"/>
  <c r="P75" i="8"/>
  <c r="P77" i="8" s="1"/>
  <c r="P32" i="6"/>
  <c r="P33" i="6" s="1"/>
  <c r="G88" i="9"/>
  <c r="N120" i="9"/>
  <c r="G99" i="9" s="1"/>
  <c r="G81" i="9"/>
  <c r="N113" i="9"/>
  <c r="G92" i="9" s="1"/>
  <c r="G86" i="9"/>
  <c r="N118" i="9"/>
  <c r="G97" i="9" s="1"/>
  <c r="G82" i="9"/>
  <c r="N114" i="9"/>
  <c r="G93" i="9" s="1"/>
  <c r="C101" i="8"/>
  <c r="P36" i="6" l="1"/>
  <c r="P37" i="6" s="1"/>
  <c r="P39" i="6" s="1"/>
  <c r="E214" i="2"/>
  <c r="F214" i="2" s="1"/>
  <c r="G214" i="2" s="1"/>
  <c r="H214" i="2" s="1"/>
  <c r="B215" i="2" s="1"/>
  <c r="P27" i="5"/>
  <c r="D96" i="8" s="1"/>
  <c r="P28" i="5" l="1"/>
  <c r="P4" i="7"/>
  <c r="P15" i="7" s="1"/>
  <c r="D97" i="8" s="1"/>
  <c r="P43" i="6"/>
  <c r="H41" i="3"/>
  <c r="D215" i="2"/>
  <c r="C215" i="2"/>
  <c r="H42" i="3" l="1"/>
  <c r="P44" i="6"/>
  <c r="P31" i="7" s="1"/>
  <c r="H55" i="9" s="1"/>
  <c r="E215" i="2"/>
  <c r="F215" i="2" s="1"/>
  <c r="G215" i="2" s="1"/>
  <c r="H215" i="2" s="1"/>
  <c r="B216" i="2" s="1"/>
  <c r="D216" i="2" s="1"/>
  <c r="P32" i="7" l="1"/>
  <c r="P34" i="7" s="1"/>
  <c r="P36" i="7" s="1"/>
  <c r="P45" i="6"/>
  <c r="P47" i="6" s="1"/>
  <c r="C216" i="2"/>
  <c r="E216" i="2" s="1"/>
  <c r="F216" i="2" s="1"/>
  <c r="G216" i="2" s="1"/>
  <c r="H216" i="2" s="1"/>
  <c r="B217" i="2" s="1"/>
  <c r="Q35" i="7"/>
  <c r="P5" i="6"/>
  <c r="P38" i="7" s="1"/>
  <c r="Q46" i="8"/>
  <c r="O148" i="9"/>
  <c r="O143" i="9"/>
  <c r="O139" i="9"/>
  <c r="O137" i="9"/>
  <c r="O135" i="9"/>
  <c r="O133" i="9"/>
  <c r="O145" i="9"/>
  <c r="O140" i="9"/>
  <c r="O150" i="9"/>
  <c r="O136" i="9"/>
  <c r="O147" i="9"/>
  <c r="O144" i="9"/>
  <c r="O146" i="9"/>
  <c r="O134" i="9"/>
  <c r="O138" i="9"/>
  <c r="O149" i="9"/>
  <c r="H56" i="9"/>
  <c r="Q42" i="6" l="1"/>
  <c r="D217" i="2"/>
  <c r="C217" i="2"/>
  <c r="Q49" i="8"/>
  <c r="Q48" i="8"/>
  <c r="Q47" i="8"/>
  <c r="D98" i="8"/>
  <c r="H53" i="9"/>
  <c r="H54" i="9" s="1"/>
  <c r="H65" i="9" s="1"/>
  <c r="P84" i="8"/>
  <c r="P86" i="8" s="1"/>
  <c r="D102" i="8" s="1"/>
  <c r="P10" i="6"/>
  <c r="P26" i="6" s="1"/>
  <c r="P49" i="6" s="1"/>
  <c r="E217" i="2" l="1"/>
  <c r="E219" i="2" s="1"/>
  <c r="Q69" i="8"/>
  <c r="Q78" i="8" s="1"/>
  <c r="Q80" i="8" s="1"/>
  <c r="D100" i="8"/>
  <c r="D103" i="8"/>
  <c r="R45" i="8"/>
  <c r="Q29" i="7"/>
  <c r="Q68" i="8"/>
  <c r="H71" i="9"/>
  <c r="H73" i="9"/>
  <c r="H70" i="9"/>
  <c r="H72" i="9"/>
  <c r="H77" i="9"/>
  <c r="H75" i="9"/>
  <c r="H74" i="9"/>
  <c r="H76" i="9"/>
  <c r="F217" i="2" l="1"/>
  <c r="G217" i="2" s="1"/>
  <c r="H217" i="2" s="1"/>
  <c r="Q71" i="8"/>
  <c r="Q22" i="5"/>
  <c r="Q24" i="5" s="1"/>
  <c r="B219" i="2"/>
  <c r="B11" i="2" s="1"/>
  <c r="B220" i="2"/>
  <c r="H84" i="9"/>
  <c r="O126" i="9"/>
  <c r="H95" i="9" s="1"/>
  <c r="H87" i="9"/>
  <c r="O129" i="9"/>
  <c r="H98" i="9" s="1"/>
  <c r="H82" i="9"/>
  <c r="O124" i="9"/>
  <c r="H93" i="9" s="1"/>
  <c r="I52" i="9"/>
  <c r="I43" i="3"/>
  <c r="Q75" i="8"/>
  <c r="Q77" i="8" s="1"/>
  <c r="Q32" i="6"/>
  <c r="Q33" i="6" s="1"/>
  <c r="Q25" i="5"/>
  <c r="Q81" i="8" s="1"/>
  <c r="Q83" i="8" s="1"/>
  <c r="H85" i="9"/>
  <c r="O127" i="9"/>
  <c r="H96" i="9" s="1"/>
  <c r="H86" i="9"/>
  <c r="O128" i="9"/>
  <c r="H97" i="9" s="1"/>
  <c r="H88" i="9"/>
  <c r="O130" i="9"/>
  <c r="H99" i="9" s="1"/>
  <c r="H83" i="9"/>
  <c r="O125" i="9"/>
  <c r="H94" i="9" s="1"/>
  <c r="H81" i="9"/>
  <c r="O123" i="9"/>
  <c r="H92" i="9" s="1"/>
  <c r="D101" i="8"/>
  <c r="B54" i="9" l="1"/>
  <c r="A39" i="9"/>
  <c r="B14" i="9"/>
  <c r="G49" i="3"/>
  <c r="C38" i="1"/>
  <c r="A159" i="9"/>
  <c r="B10" i="1"/>
  <c r="C46" i="3"/>
  <c r="Q27" i="5"/>
  <c r="Q36" i="6"/>
  <c r="Q37" i="6" s="1"/>
  <c r="Q39" i="6" s="1"/>
  <c r="B16" i="9" l="1"/>
  <c r="B18" i="9" s="1"/>
  <c r="F16" i="9"/>
  <c r="F18" i="9" s="1"/>
  <c r="D16" i="9"/>
  <c r="D18" i="9" s="1"/>
  <c r="G16" i="9"/>
  <c r="E16" i="9"/>
  <c r="E18" i="9" s="1"/>
  <c r="G17" i="9"/>
  <c r="C16" i="9"/>
  <c r="C18" i="9" s="1"/>
  <c r="D39" i="9"/>
  <c r="E39" i="9"/>
  <c r="B39" i="9"/>
  <c r="F39" i="9"/>
  <c r="G39" i="9"/>
  <c r="H39" i="9"/>
  <c r="C39" i="9"/>
  <c r="C159" i="9"/>
  <c r="E159" i="9"/>
  <c r="F159" i="9"/>
  <c r="D159" i="9"/>
  <c r="B159" i="9"/>
  <c r="E96" i="8"/>
  <c r="Q4" i="7"/>
  <c r="Q15" i="7" s="1"/>
  <c r="Q28" i="5"/>
  <c r="I41" i="3"/>
  <c r="Q43" i="6"/>
  <c r="G18" i="9" l="1"/>
  <c r="B23" i="9" s="1"/>
  <c r="B22" i="9"/>
  <c r="Q44" i="6"/>
  <c r="Q31" i="7" s="1"/>
  <c r="E97" i="8"/>
  <c r="I42" i="3"/>
  <c r="B24" i="9" l="1"/>
  <c r="B28" i="9" s="1"/>
  <c r="Q45" i="6"/>
  <c r="I55" i="9"/>
  <c r="Q32" i="7"/>
  <c r="Q34" i="7" s="1"/>
  <c r="Q36" i="7" s="1"/>
  <c r="D30" i="1" l="1"/>
  <c r="C9" i="1"/>
  <c r="G52" i="3"/>
  <c r="B200" i="2"/>
  <c r="B198" i="2" s="1"/>
  <c r="B199" i="2" s="1"/>
  <c r="B32" i="9"/>
  <c r="B59" i="9" s="1"/>
  <c r="C51" i="3"/>
  <c r="B30" i="9"/>
  <c r="A44" i="9" s="1"/>
  <c r="C48" i="3"/>
  <c r="B31" i="9"/>
  <c r="B12" i="1"/>
  <c r="R35" i="7"/>
  <c r="Q5" i="6"/>
  <c r="Q38" i="7" s="1"/>
  <c r="R46" i="8"/>
  <c r="P148" i="9"/>
  <c r="P143" i="9"/>
  <c r="P146" i="9"/>
  <c r="P150" i="9"/>
  <c r="P145" i="9"/>
  <c r="P147" i="9"/>
  <c r="P144" i="9"/>
  <c r="P149" i="9"/>
  <c r="I56" i="9"/>
  <c r="R42" i="6"/>
  <c r="Q47" i="6"/>
  <c r="E197" i="2" l="1"/>
  <c r="G197" i="2"/>
  <c r="B202" i="2"/>
  <c r="G196" i="2"/>
  <c r="E196" i="2"/>
  <c r="I53" i="9"/>
  <c r="I54" i="9" s="1"/>
  <c r="I65" i="9" s="1"/>
  <c r="E98" i="8"/>
  <c r="Q84" i="8"/>
  <c r="Q86" i="8" s="1"/>
  <c r="E102" i="8" s="1"/>
  <c r="Q10" i="6"/>
  <c r="Q26" i="6" s="1"/>
  <c r="Q49" i="6" s="1"/>
  <c r="R47" i="8"/>
  <c r="R48" i="8"/>
  <c r="R49" i="8"/>
  <c r="G202" i="2" l="1"/>
  <c r="R69" i="8"/>
  <c r="R78" i="8" s="1"/>
  <c r="R80" i="8" s="1"/>
  <c r="R29" i="7"/>
  <c r="R68" i="8"/>
  <c r="E100" i="8"/>
  <c r="E103" i="8"/>
  <c r="I76" i="9"/>
  <c r="I71" i="9"/>
  <c r="I74" i="9"/>
  <c r="I70" i="9"/>
  <c r="I72" i="9"/>
  <c r="I73" i="9"/>
  <c r="I75" i="9"/>
  <c r="I77" i="9"/>
  <c r="R22" i="5" l="1"/>
  <c r="R24" i="5" s="1"/>
  <c r="R71" i="8"/>
  <c r="I87" i="9"/>
  <c r="P139" i="9"/>
  <c r="I98" i="9" s="1"/>
  <c r="I81" i="9"/>
  <c r="P133" i="9"/>
  <c r="I92" i="9" s="1"/>
  <c r="I88" i="9"/>
  <c r="P140" i="9"/>
  <c r="I99" i="9" s="1"/>
  <c r="I86" i="9"/>
  <c r="P138" i="9"/>
  <c r="I97" i="9" s="1"/>
  <c r="E101" i="8"/>
  <c r="I84" i="9"/>
  <c r="P136" i="9"/>
  <c r="I95" i="9" s="1"/>
  <c r="J52" i="9"/>
  <c r="R32" i="6"/>
  <c r="R33" i="6" s="1"/>
  <c r="R75" i="8"/>
  <c r="D28" i="1"/>
  <c r="I83" i="9"/>
  <c r="P135" i="9"/>
  <c r="I94" i="9" s="1"/>
  <c r="R25" i="5"/>
  <c r="R27" i="5" s="1"/>
  <c r="I85" i="9"/>
  <c r="P137" i="9"/>
  <c r="I96" i="9" s="1"/>
  <c r="I82" i="9"/>
  <c r="P134" i="9"/>
  <c r="I93" i="9" s="1"/>
  <c r="R81" i="8" l="1"/>
  <c r="R83" i="8" s="1"/>
  <c r="F96" i="8"/>
  <c r="G96" i="8" s="1"/>
  <c r="R4" i="7"/>
  <c r="R15" i="7" s="1"/>
  <c r="R28" i="5"/>
  <c r="R43" i="6"/>
  <c r="D22" i="1"/>
  <c r="R77" i="8"/>
  <c r="C70" i="1"/>
  <c r="R36" i="6"/>
  <c r="R37" i="6" s="1"/>
  <c r="R39" i="6" s="1"/>
  <c r="F97" i="8" l="1"/>
  <c r="G97" i="8" s="1"/>
  <c r="R44" i="6"/>
  <c r="R31" i="7" s="1"/>
  <c r="R45" i="6" l="1"/>
  <c r="R47" i="6" s="1"/>
  <c r="J55" i="9"/>
  <c r="R32" i="7"/>
  <c r="R34" i="7" s="1"/>
  <c r="R36" i="7" s="1"/>
  <c r="R5" i="6" l="1"/>
  <c r="J56" i="9"/>
  <c r="J53" i="9" l="1"/>
  <c r="J54" i="9" s="1"/>
  <c r="J65" i="9" s="1"/>
  <c r="F98" i="8"/>
  <c r="R84" i="8"/>
  <c r="R86" i="8" s="1"/>
  <c r="F102" i="8" s="1"/>
  <c r="G102" i="8" s="1"/>
  <c r="R10" i="6"/>
  <c r="R26" i="6" s="1"/>
  <c r="R38" i="7"/>
  <c r="R49" i="6" l="1"/>
  <c r="D23" i="1"/>
  <c r="F103" i="8"/>
  <c r="F100" i="8"/>
  <c r="G98" i="8"/>
  <c r="G103" i="8"/>
  <c r="J74" i="9"/>
  <c r="J75" i="9"/>
  <c r="J77" i="9"/>
  <c r="J70" i="9"/>
  <c r="J72" i="9"/>
  <c r="J71" i="9"/>
  <c r="J76" i="9"/>
  <c r="J73" i="9"/>
  <c r="E12" i="1"/>
  <c r="D12" i="1"/>
  <c r="J84" i="9" l="1"/>
  <c r="B9" i="1"/>
  <c r="Q146" i="9"/>
  <c r="J95" i="9" s="1"/>
  <c r="J87" i="9"/>
  <c r="Q149" i="9"/>
  <c r="J98" i="9" s="1"/>
  <c r="J82" i="9"/>
  <c r="Q144" i="9"/>
  <c r="J93" i="9" s="1"/>
  <c r="J81" i="9"/>
  <c r="Q143" i="9"/>
  <c r="J92" i="9" s="1"/>
  <c r="J88" i="9"/>
  <c r="Q150" i="9"/>
  <c r="J99" i="9" s="1"/>
  <c r="J85" i="9"/>
  <c r="Q147" i="9"/>
  <c r="J96" i="9" s="1"/>
  <c r="J86" i="9"/>
  <c r="Q148" i="9"/>
  <c r="J97" i="9" s="1"/>
  <c r="G100" i="8"/>
  <c r="F101" i="8"/>
  <c r="G101" i="8" s="1"/>
  <c r="J83" i="9"/>
  <c r="Q145" i="9"/>
  <c r="J94" i="9" s="1"/>
  <c r="D9" i="1" l="1"/>
  <c r="C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MOLT</author>
    <author>Walker Anderson</author>
    <author>Codex</author>
    <author>Apollo Model</author>
  </authors>
  <commentList>
    <comment ref="B13" authorId="0" shapeId="0" xr:uid="{00000000-0006-0000-0100-000001000000}">
      <text>
        <r>
          <rPr>
            <sz val="12"/>
            <color theme="1"/>
            <rFont val="Aptos Narrow"/>
            <family val="2"/>
            <charset val="1"/>
          </rPr>
          <t>Walker Anderson:
31% = member marginal rate for pass-through distributions. WACC uses 25% corporate-equivalent debt shield (see B195). Both rates are intentional — pass-through entity pays 31% on income; WACC models 25% marginal rate for interest tax shield.</t>
        </r>
      </text>
    </comment>
    <comment ref="B16" authorId="1" shapeId="0" xr:uid="{00000000-0006-0000-0100-000002000000}">
      <text>
        <r>
          <rPr>
            <sz val="12"/>
            <color theme="1"/>
            <rFont val="Aptos Narrow"/>
            <family val="2"/>
            <charset val="1"/>
          </rPr>
          <t>22% is a blended net margin target; revenue growth varies by division. This is not a revenue growth rate.</t>
        </r>
      </text>
    </comment>
    <comment ref="B17" authorId="1" shapeId="0" xr:uid="{00000000-0006-0000-0100-000003000000}">
      <text>
        <r>
          <rPr>
            <sz val="12"/>
            <color theme="1"/>
            <rFont val="Aptos Narrow"/>
            <family val="2"/>
            <charset val="1"/>
          </rPr>
          <t>Midpoint of 30–50% range per management guidance.</t>
        </r>
      </text>
    </comment>
    <comment ref="A22" authorId="0" shapeId="0" xr:uid="{00000000-0006-0000-0100-000004000000}">
      <text>
        <r>
          <rPr>
            <sz val="12"/>
            <color theme="1"/>
            <rFont val="Aptos Narrow"/>
            <family val="2"/>
            <charset val="1"/>
          </rPr>
          <t>⚠ PRE-SCENARIO BASE FIGURES: Values below are base revenue inputs BEFORE scenario multipliers, customer concentration haircuts, and winter uplift adjustments are applied. Actual forecasted revenue (after all adjustments) is calculated on the Revenue Build tab. E.g., FY2026 Field Services base = $623K, but Revenue Build produces $685.3K after winter uplift (Base scenario: 1.0 × (1 + 25% × 2/5) = 1.10× multiplier). See Revenue Build tab for final revenue figures.</t>
        </r>
      </text>
    </comment>
    <comment ref="B23" authorId="1" shapeId="0" xr:uid="{00000000-0006-0000-0100-000005000000}">
      <text>
        <r>
          <rPr>
            <sz val="12"/>
            <color rgb="FF000000"/>
            <rFont val="Aptos Narrow"/>
            <family val="2"/>
            <charset val="1"/>
          </rPr>
          <t>Apollo non-brokerage revenue per MoM P&amp;L 2025 ($3,734,804). Brokerage ($1,182K) discontinued 1/1/2026 — excluded from divisional base. FY2025A total entity revenue was $4,916K.</t>
        </r>
      </text>
    </comment>
    <comment ref="D23" authorId="1" shapeId="0" xr:uid="{00000000-0006-0000-0100-000006000000}">
      <text>
        <r>
          <rPr>
            <sz val="12"/>
            <color theme="1"/>
            <rFont val="Aptos Narrow"/>
            <family val="2"/>
            <charset val="1"/>
          </rPr>
          <t>10% YoY growth — accelerating from 8% base.</t>
        </r>
      </text>
    </comment>
    <comment ref="C24" authorId="2" shapeId="0" xr:uid="{00000000-0006-0000-0100-000007000000}">
      <text>
        <r>
          <rPr>
            <sz val="12"/>
            <color theme="1"/>
            <rFont val="Aptos Narrow"/>
            <family val="2"/>
            <charset val="1"/>
          </rPr>
          <t>Base revenue input only. Revenue Build applies the selected scenario multiplier and winter uplift before annual revenue is summed.</t>
        </r>
      </text>
    </comment>
    <comment ref="B25" authorId="1" shapeId="0" xr:uid="{00000000-0006-0000-0100-000008000000}">
      <text>
        <r>
          <rPr>
            <sz val="12"/>
            <color theme="1"/>
            <rFont val="Aptos Narrow"/>
            <family val="2"/>
            <charset val="1"/>
          </rPr>
          <t>Acquisition target's trailing revenue. Acquired entity did $1.8M in FY2025. Apollo FY2025A Installations = $0 (not yet owned). $1,800K used as CAGR base to show organic growth trajectory post-acquisition.</t>
        </r>
      </text>
    </comment>
    <comment ref="D27" authorId="1" shapeId="0" xr:uid="{00000000-0006-0000-0100-000009000000}">
      <text>
        <r>
          <rPr>
            <sz val="12"/>
            <color theme="1"/>
            <rFont val="Aptos Narrow"/>
            <family val="2"/>
            <charset val="1"/>
          </rPr>
          <t>30% YoY — slightly higher growth rate to compensate for lower base.</t>
        </r>
      </text>
    </comment>
    <comment ref="A29" authorId="1" shapeId="0" xr:uid="{00000000-0006-0000-0100-00000A000000}">
      <text>
        <r>
          <rPr>
            <sz val="12"/>
            <color theme="1"/>
            <rFont val="Aptos Narrow"/>
            <family val="2"/>
            <charset val="1"/>
          </rPr>
          <t>⚠ REVENUE QUALITY FLAG: $714K rev/employee is 2-4x the $170-$380K industry norm (IBISWorld/BVR). This strongly suggests subcontractor or equipment pass-through inflating top-line. True margins on service component are likely HIGHER than blended figures. Consider splitting into 'service revenue' and 'pass-through revenue' for more accurate margin analysis.</t>
        </r>
      </text>
    </comment>
    <comment ref="B35" authorId="0" shapeId="0" xr:uid="{00000000-0006-0000-0100-00000B000000}">
      <text>
        <r>
          <rPr>
            <sz val="12"/>
            <color rgb="FF000000"/>
            <rFont val="Aptos Narrow"/>
            <family val="2"/>
            <charset val="1"/>
          </rPr>
          <t>Walker Anderson:
Anchored to opening ratio: $41K OCA / $5,812K revenue = 0.71%. Used to project OCA as a % of revenue on Balance Sheet.</t>
        </r>
      </text>
    </comment>
    <comment ref="C38" authorId="1" shapeId="0" xr:uid="{00000000-0006-0000-0100-00000C000000}">
      <text>
        <r>
          <rPr>
            <sz val="12"/>
            <color theme="1"/>
            <rFont val="Aptos Narrow"/>
            <family val="2"/>
            <charset val="1"/>
          </rPr>
          <t>Year 1 of scale; commodity passthrough dominates. 22% GM reflects early-stage LNG operations.</t>
        </r>
      </text>
    </comment>
    <comment ref="D38" authorId="1" shapeId="0" xr:uid="{00000000-0006-0000-0100-00000D000000}">
      <text>
        <r>
          <rPr>
            <sz val="12"/>
            <color theme="1"/>
            <rFont val="Aptos Narrow"/>
            <family val="2"/>
            <charset val="1"/>
          </rPr>
          <t>Marginal improvement from contracted pricing. 24% GM in Year 2.</t>
        </r>
      </text>
    </comment>
    <comment ref="E38" authorId="1" shapeId="0" xr:uid="{00000000-0006-0000-0100-00000E000000}">
      <text>
        <r>
          <rPr>
            <sz val="12"/>
            <color theme="1"/>
            <rFont val="Aptos Narrow"/>
            <family val="2"/>
            <charset val="1"/>
          </rPr>
          <t>Some equipment rental mix improvement. 25% GM in Year 3.</t>
        </r>
      </text>
    </comment>
    <comment ref="F38" authorId="1" shapeId="0" xr:uid="{00000000-0006-0000-0100-00000F000000}">
      <text>
        <r>
          <rPr>
            <sz val="12"/>
            <color theme="1"/>
            <rFont val="Aptos Narrow"/>
            <family val="2"/>
            <charset val="1"/>
          </rPr>
          <t>Approaching steady-state for non-integrated operator. 26% GM.</t>
        </r>
      </text>
    </comment>
    <comment ref="G38" authorId="1" shapeId="0" xr:uid="{00000000-0006-0000-0100-000010000000}">
      <text>
        <r>
          <rPr>
            <sz val="12"/>
            <color theme="1"/>
            <rFont val="Aptos Narrow"/>
            <family val="2"/>
            <charset val="1"/>
          </rPr>
          <t>Terminal margin at top of range for small non-integrated LNG operator. 27% GM.</t>
        </r>
      </text>
    </comment>
    <comment ref="D40" authorId="1" shapeId="0" xr:uid="{00000000-0006-0000-0100-000011000000}">
      <text>
        <r>
          <rPr>
            <sz val="12"/>
            <color theme="1"/>
            <rFont val="Aptos Narrow"/>
            <family val="2"/>
            <charset val="1"/>
          </rPr>
          <t>Improvement as project management matures. Still below industry avg of 40–50%.</t>
        </r>
      </text>
    </comment>
    <comment ref="E40" authorId="1" shapeId="0" xr:uid="{00000000-0006-0000-0100-000012000000}">
      <text>
        <r>
          <rPr>
            <sz val="12"/>
            <color theme="1"/>
            <rFont val="Aptos Narrow"/>
            <family val="2"/>
            <charset val="1"/>
          </rPr>
          <t>Mid-range for specialty electrical/ASME contractors.</t>
        </r>
      </text>
    </comment>
    <comment ref="F40" authorId="1" shapeId="0" xr:uid="{00000000-0006-0000-0100-000013000000}">
      <text>
        <r>
          <rPr>
            <sz val="12"/>
            <color theme="1"/>
            <rFont val="Aptos Narrow"/>
            <family val="2"/>
            <charset val="1"/>
          </rPr>
          <t>Steady-state. Capped below top-quartile — accounts for project mix variability.</t>
        </r>
      </text>
    </comment>
    <comment ref="G40" authorId="1" shapeId="0" xr:uid="{00000000-0006-0000-0100-000014000000}">
      <text>
        <r>
          <rPr>
            <sz val="12"/>
            <color theme="1"/>
            <rFont val="Aptos Narrow"/>
            <family val="2"/>
            <charset val="1"/>
          </rPr>
          <t>Terminal margin. Conservative vs. 40% ceiling — realistic for diversified installation work.</t>
        </r>
      </text>
    </comment>
    <comment ref="C41" authorId="1" shapeId="0" xr:uid="{00000000-0006-0000-0100-000015000000}">
      <text>
        <r>
          <rPr>
            <sz val="12"/>
            <color theme="1"/>
            <rFont val="Aptos Narrow"/>
            <family val="2"/>
            <charset val="1"/>
          </rPr>
          <t>Fleet/equipment maintenance at startup utilization. Industry 25–30% for small shops.</t>
        </r>
      </text>
    </comment>
    <comment ref="D41" authorId="1" shapeId="0" xr:uid="{00000000-0006-0000-0100-000016000000}">
      <text>
        <r>
          <rPr>
            <sz val="12"/>
            <color theme="1"/>
            <rFont val="Aptos Narrow"/>
            <family val="2"/>
            <charset val="1"/>
          </rPr>
          <t>Marginal improvement via utilization gains.</t>
        </r>
      </text>
    </comment>
    <comment ref="E41" authorId="1" shapeId="0" xr:uid="{00000000-0006-0000-0100-000017000000}">
      <text>
        <r>
          <rPr>
            <sz val="12"/>
            <color theme="1"/>
            <rFont val="Aptos Narrow"/>
            <family val="2"/>
            <charset val="1"/>
          </rPr>
          <t>Mid-range for fleet maintenance operations.</t>
        </r>
      </text>
    </comment>
    <comment ref="F41" authorId="1" shapeId="0" xr:uid="{00000000-0006-0000-0100-000018000000}">
      <text>
        <r>
          <rPr>
            <sz val="12"/>
            <color theme="1"/>
            <rFont val="Aptos Narrow"/>
            <family val="2"/>
            <charset val="1"/>
          </rPr>
          <t>Near steady-state.</t>
        </r>
      </text>
    </comment>
    <comment ref="G41" authorId="1" shapeId="0" xr:uid="{00000000-0006-0000-0100-000019000000}">
      <text>
        <r>
          <rPr>
            <sz val="12"/>
            <color theme="1"/>
            <rFont val="Aptos Narrow"/>
            <family val="2"/>
            <charset val="1"/>
          </rPr>
          <t>Terminal margin at industry average for equipment maintenance services.</t>
        </r>
      </text>
    </comment>
    <comment ref="C42" authorId="1" shapeId="0" xr:uid="{00000000-0006-0000-0100-00001A000000}">
      <text>
        <r>
          <rPr>
            <sz val="12"/>
            <color theme="1"/>
            <rFont val="Aptos Narrow"/>
            <family val="2"/>
            <charset val="1"/>
          </rPr>
          <t>New division, heavy compliance costs. 15% is realistic for Year 1 power management startup.</t>
        </r>
      </text>
    </comment>
    <comment ref="D42" authorId="1" shapeId="0" xr:uid="{00000000-0006-0000-0100-00001B000000}">
      <text>
        <r>
          <rPr>
            <sz val="12"/>
            <color theme="1"/>
            <rFont val="Aptos Narrow"/>
            <family val="2"/>
            <charset val="1"/>
          </rPr>
          <t>Marginal improvement as compliance costs amortize over growing base.</t>
        </r>
      </text>
    </comment>
    <comment ref="E42" authorId="1" shapeId="0" xr:uid="{00000000-0006-0000-0100-00001C000000}">
      <text>
        <r>
          <rPr>
            <sz val="12"/>
            <color theme="1"/>
            <rFont val="Aptos Narrow"/>
            <family val="2"/>
            <charset val="1"/>
          </rPr>
          <t>Scale beginning to lift margins. Still below mature power management operations.</t>
        </r>
      </text>
    </comment>
    <comment ref="F42" authorId="1" shapeId="0" xr:uid="{00000000-0006-0000-0100-00001D000000}">
      <text>
        <r>
          <rPr>
            <sz val="12"/>
            <color theme="1"/>
            <rFont val="Aptos Narrow"/>
            <family val="2"/>
            <charset val="1"/>
          </rPr>
          <t>Approaching mid-range for power management services.</t>
        </r>
      </text>
    </comment>
    <comment ref="G42" authorId="1" shapeId="0" xr:uid="{00000000-0006-0000-0100-00001E000000}">
      <text>
        <r>
          <rPr>
            <sz val="12"/>
            <color theme="1"/>
            <rFont val="Aptos Narrow"/>
            <family val="2"/>
            <charset val="1"/>
          </rPr>
          <t>Terminal margin. Conservative — accounts for ongoing compliance burden.</t>
        </r>
      </text>
    </comment>
    <comment ref="B47" authorId="1" shapeId="0" xr:uid="{00000000-0006-0000-0100-00001F000000}">
      <text>
        <r>
          <rPr>
            <sz val="12"/>
            <color theme="1"/>
            <rFont val="Aptos Narrow"/>
            <family val="2"/>
            <charset val="1"/>
          </rPr>
          <t>No Installations in 2025A — acquisition occurs in 2026.</t>
        </r>
      </text>
    </comment>
    <comment ref="C47" authorId="1" shapeId="0" xr:uid="{00000000-0006-0000-0100-000020000000}">
      <text>
        <r>
          <rPr>
            <sz val="12"/>
            <color theme="1"/>
            <rFont val="Aptos Narrow"/>
            <family val="2"/>
            <charset val="1"/>
          </rPr>
          <t>Per management quote: $300K/yr.</t>
        </r>
      </text>
    </comment>
    <comment ref="B48" authorId="1" shapeId="0" xr:uid="{00000000-0006-0000-0100-000021000000}">
      <text>
        <r>
          <rPr>
            <sz val="12"/>
            <color theme="1"/>
            <rFont val="Aptos Narrow"/>
            <family val="2"/>
            <charset val="1"/>
          </rPr>
          <t>Largest cost driver per management — eats margin.</t>
        </r>
      </text>
    </comment>
    <comment ref="C49" authorId="1" shapeId="0" xr:uid="{00000000-0006-0000-0100-000022000000}">
      <text>
        <r>
          <rPr>
            <sz val="12"/>
            <color theme="1"/>
            <rFont val="Aptos Narrow"/>
            <family val="2"/>
            <charset val="1"/>
          </rPr>
          <t>Fleet Services, Fleet Maintenance, and Power Management combined.</t>
        </r>
      </text>
    </comment>
    <comment ref="E52" authorId="1" shapeId="0" xr:uid="{00000000-0006-0000-0100-000023000000}">
      <text>
        <r>
          <rPr>
            <sz val="12"/>
            <color theme="1"/>
            <rFont val="Aptos Narrow"/>
            <family val="2"/>
            <charset val="1"/>
          </rPr>
          <t>Efficiency gains lower G&amp;A % as scale increases.</t>
        </r>
      </text>
    </comment>
    <comment ref="B56" authorId="1" shapeId="0" xr:uid="{00000000-0006-0000-0100-000024000000}">
      <text>
        <r>
          <rPr>
            <sz val="12"/>
            <color theme="1"/>
            <rFont val="Aptos Narrow"/>
            <family val="2"/>
            <charset val="1"/>
          </rPr>
          <t>Existing $1.5M base / 5yr SL = $300K</t>
        </r>
      </text>
    </comment>
    <comment ref="C56" authorId="0" shapeId="0" xr:uid="{00000000-0006-0000-0100-000025000000}">
      <text>
        <r>
          <rPr>
            <sz val="12"/>
            <color theme="1"/>
            <rFont val="Aptos Narrow"/>
            <family val="2"/>
            <charset val="1"/>
          </rPr>
          <t>Walker Anderson:
Base D&amp;A on opening $1,339K net PP&amp;E; fully depreciated ~mid-FY2031.</t>
        </r>
      </text>
    </comment>
    <comment ref="D56" authorId="1" shapeId="0" xr:uid="{00000000-0006-0000-0100-000026000000}">
      <text>
        <r>
          <rPr>
            <sz val="12"/>
            <color theme="1"/>
            <rFont val="Aptos Narrow"/>
            <family val="2"/>
            <charset val="1"/>
          </rPr>
          <t>Existing + FY26 layer + FY27 layer</t>
        </r>
      </text>
    </comment>
    <comment ref="B60" authorId="1" shapeId="0" xr:uid="{00000000-0006-0000-0100-000027000000}">
      <text>
        <r>
          <rPr>
            <sz val="12"/>
            <color theme="1"/>
            <rFont val="Aptos Narrow"/>
            <family val="2"/>
            <charset val="1"/>
          </rPr>
          <t>One-time corporate injection in 2025A. Not recurring — set to $0 for all projection years (2026E+). Bridges gap from ~$75K operating NI to $390K adjusted NI target.</t>
        </r>
      </text>
    </comment>
    <comment ref="B69" authorId="1" shapeId="0" xr:uid="{00000000-0006-0000-0100-000028000000}">
      <text>
        <r>
          <rPr>
            <sz val="12"/>
            <color theme="1"/>
            <rFont val="Aptos Narrow"/>
            <family val="2"/>
            <charset val="1"/>
          </rPr>
          <t>Blended DPO: 15–20 day range for sub-heavy energy services. 18 days reflects mix of fast-pay owner-operators (7–15 days) and vendor/insurance AP on Net-30 terms. Previously 10 days (conservative for pure sub-pay only). Industry median for NAICS 213112 is 28–35 days per RMA.</t>
        </r>
      </text>
    </comment>
    <comment ref="B71" authorId="1" shapeId="0" xr:uid="{00000000-0006-0000-0100-000029000000}">
      <text>
        <r>
          <rPr>
            <sz val="12"/>
            <color theme="1"/>
            <rFont val="Aptos Narrow"/>
            <family val="2"/>
            <charset val="1"/>
          </rPr>
          <t>21-day structural cash float — key risk in Logistics.</t>
        </r>
      </text>
    </comment>
    <comment ref="B73" authorId="1" shapeId="0" xr:uid="{00000000-0006-0000-0100-00002A000000}">
      <text>
        <r>
          <rPr>
            <sz val="12"/>
            <color theme="1"/>
            <rFont val="Aptos Narrow"/>
            <family val="2"/>
            <charset val="1"/>
          </rPr>
          <t>~10% of annual Fleet Services revenue per management.</t>
        </r>
      </text>
    </comment>
    <comment ref="B74" authorId="1" shapeId="0" xr:uid="{00000000-0006-0000-0100-00002B000000}">
      <text>
        <r>
          <rPr>
            <sz val="12"/>
            <color theme="1"/>
            <rFont val="Aptos Narrow"/>
            <family val="2"/>
            <charset val="1"/>
          </rPr>
          <t>Standard assumption for insurance prepayments.</t>
        </r>
      </text>
    </comment>
    <comment ref="E80" authorId="1" shapeId="0" xr:uid="{00000000-0006-0000-0100-00002C000000}">
      <text>
        <r>
          <rPr>
            <sz val="12"/>
            <color theme="1"/>
            <rFont val="Aptos Narrow"/>
            <family val="2"/>
            <charset val="1"/>
          </rPr>
          <t>Revolving; 3-yr maturity</t>
        </r>
      </text>
    </comment>
    <comment ref="F80" authorId="1" shapeId="0" xr:uid="{00000000-0006-0000-0100-00002D000000}">
      <text>
        <r>
          <rPr>
            <sz val="12"/>
            <color theme="1"/>
            <rFont val="Aptos Narrow"/>
            <family val="2"/>
            <charset val="1"/>
          </rPr>
          <t>Interest-only; principal repaid at maturity or from cash flow</t>
        </r>
      </text>
    </comment>
    <comment ref="E84" authorId="1" shapeId="0" xr:uid="{00000000-0006-0000-0100-00002E000000}">
      <text>
        <r>
          <rPr>
            <sz val="12"/>
            <color theme="1"/>
            <rFont val="Aptos Narrow"/>
            <family val="2"/>
            <charset val="1"/>
          </rPr>
          <t>Balloon option — will decline (buyers market)</t>
        </r>
      </text>
    </comment>
    <comment ref="B89" authorId="1" shapeId="0" xr:uid="{00000000-0006-0000-0100-00002F000000}">
      <text>
        <r>
          <rPr>
            <sz val="12"/>
            <color theme="1"/>
            <rFont val="Aptos Narrow"/>
            <family val="2"/>
            <charset val="1"/>
          </rPr>
          <t>~$700K in ISO tanks; 80%+ equity at end.</t>
        </r>
      </text>
    </comment>
    <comment ref="B90" authorId="1" shapeId="0" xr:uid="{00000000-0006-0000-0100-000030000000}">
      <text>
        <r>
          <rPr>
            <sz val="12"/>
            <color theme="1"/>
            <rFont val="Aptos Narrow"/>
            <family val="2"/>
            <charset val="1"/>
          </rPr>
          <t>$50K, 0 down, 5-yr at 7% per management.</t>
        </r>
      </text>
    </comment>
    <comment ref="B92" authorId="0" shapeId="0" xr:uid="{00000000-0006-0000-0100-000031000000}">
      <text>
        <r>
          <rPr>
            <sz val="12"/>
            <color theme="1"/>
            <rFont val="Aptos Narrow"/>
            <family val="2"/>
            <charset val="1"/>
          </rPr>
          <t>Walker Anderson:
Seller-financed portion of $2M acquisition. $600K cash at close + $1,400K financed at 7% over 5yr.</t>
        </r>
      </text>
    </comment>
    <comment ref="B93" authorId="0" shapeId="0" xr:uid="{00000000-0006-0000-0100-000032000000}">
      <text>
        <r>
          <rPr>
            <sz val="12"/>
            <color theme="1"/>
            <rFont val="Aptos Narrow"/>
            <family val="2"/>
            <charset val="1"/>
          </rPr>
          <t>Walker Anderson:
$300K term note at 9% to fund portion of $600K cash outlay at close. Remaining $300K from cash on hand.</t>
        </r>
      </text>
    </comment>
    <comment ref="B95" authorId="0" shapeId="0" xr:uid="{00000000-0006-0000-0100-000033000000}">
      <text>
        <r>
          <rPr>
            <sz val="12"/>
            <color theme="1"/>
            <rFont val="Aptos Narrow"/>
            <family val="2"/>
            <charset val="1"/>
          </rPr>
          <t>Walker Anderson:
Total: $2M. $600K cash at close (Nov 2026) + $1.4M seller note. Of $600K: $300K cash on hand + $300K Apollo term note.</t>
        </r>
      </text>
    </comment>
    <comment ref="F98" authorId="0" shapeId="0" xr:uid="{00000000-0006-0000-0100-000034000000}">
      <text>
        <r>
          <rPr>
            <sz val="12"/>
            <color theme="1"/>
            <rFont val="Aptos Narrow"/>
            <family val="2"/>
            <charset val="1"/>
          </rPr>
          <t>Tier 4: Most restrictive leverage covenant. Progression: No Facility 5.5×→T1 4.5×→T2 3.5×→T3 3.0×→T4 2.5×.</t>
        </r>
      </text>
    </comment>
    <comment ref="F100" authorId="0" shapeId="0" xr:uid="{00000000-0006-0000-0100-000035000000}">
      <text>
        <r>
          <rPr>
            <sz val="12"/>
            <color theme="1"/>
            <rFont val="Aptos Narrow"/>
            <family val="2"/>
            <charset val="1"/>
          </rPr>
          <t>Tier 4: Slightly relaxed FCCR from T3 1.20×. Progression: T1-T2 1.25×→T3 1.20×→T4 1.15×.</t>
        </r>
      </text>
    </comment>
    <comment ref="B103" authorId="1" shapeId="0" xr:uid="{00000000-0006-0000-0100-000036000000}">
      <text>
        <r>
          <rPr>
            <sz val="12"/>
            <color theme="1"/>
            <rFont val="Aptos Narrow"/>
            <family val="2"/>
            <charset val="1"/>
          </rPr>
          <t>Equal to effective tax rate for pass-through entity.</t>
        </r>
      </text>
    </comment>
    <comment ref="B104" authorId="1" shapeId="0" xr:uid="{00000000-0006-0000-0100-000037000000}">
      <text>
        <r>
          <rPr>
            <sz val="12"/>
            <color theme="1"/>
            <rFont val="Aptos Narrow"/>
            <family val="2"/>
            <charset val="1"/>
          </rPr>
          <t>40% max distribution less 31% tax distribution = 9% discretionary.</t>
        </r>
      </text>
    </comment>
    <comment ref="B110" authorId="1" shapeId="0" xr:uid="{00000000-0006-0000-0100-000038000000}">
      <text>
        <r>
          <rPr>
            <sz val="12"/>
            <color theme="1"/>
            <rFont val="Aptos Narrow"/>
            <family val="2"/>
            <charset val="1"/>
          </rPr>
          <t>Winter plant build prep.</t>
        </r>
      </text>
    </comment>
    <comment ref="B112" authorId="1" shapeId="0" xr:uid="{00000000-0006-0000-0100-000039000000}">
      <text>
        <r>
          <rPr>
            <sz val="12"/>
            <color theme="1"/>
            <rFont val="Aptos Narrow"/>
            <family val="2"/>
            <charset val="1"/>
          </rPr>
          <t>Ramp-up: minimal Jan–Mar as division launches.</t>
        </r>
      </text>
    </comment>
    <comment ref="G112" authorId="1" shapeId="0" xr:uid="{00000000-0006-0000-0100-00003A000000}">
      <text>
        <r>
          <rPr>
            <sz val="12"/>
            <color theme="1"/>
            <rFont val="Aptos Narrow"/>
            <family val="2"/>
            <charset val="1"/>
          </rPr>
          <t>Summer peak — generators most profitable</t>
        </r>
      </text>
    </comment>
    <comment ref="B127" authorId="1" shapeId="0" xr:uid="{00000000-0006-0000-0100-00003B000000}">
      <text>
        <r>
          <rPr>
            <sz val="12"/>
            <color theme="1"/>
            <rFont val="Aptos Narrow"/>
            <family val="2"/>
            <charset val="1"/>
          </rPr>
          <t>Estimated opening cash; will be augmented by capital injection.</t>
        </r>
      </text>
    </comment>
    <comment ref="B128" authorId="1" shapeId="0" xr:uid="{00000000-0006-0000-0100-00003C000000}">
      <text>
        <r>
          <rPr>
            <sz val="12"/>
            <color theme="1"/>
            <rFont val="Aptos Narrow"/>
            <family val="2"/>
            <charset val="1"/>
          </rPr>
          <t>2025 revenue × DSO / 365.</t>
        </r>
      </text>
    </comment>
    <comment ref="B134" authorId="1" shapeId="0" xr:uid="{00000000-0006-0000-0100-00003D000000}">
      <text>
        <r>
          <rPr>
            <sz val="12"/>
            <color theme="1"/>
            <rFont val="Aptos Narrow"/>
            <family val="2"/>
            <charset val="1"/>
          </rPr>
          <t>Net of accumulated depreciation on $1.5M gross PP&amp;E.</t>
        </r>
      </text>
    </comment>
    <comment ref="B137" authorId="1" shapeId="0" xr:uid="{00000000-0006-0000-0100-00003E000000}">
      <text>
        <r>
          <rPr>
            <sz val="12"/>
            <color theme="1"/>
            <rFont val="Aptos Narrow"/>
            <family val="2"/>
            <charset val="1"/>
          </rPr>
          <t>Deposits, licenses, misc.</t>
        </r>
      </text>
    </comment>
    <comment ref="B141" authorId="1" shapeId="0" xr:uid="{00000000-0006-0000-0100-00003F000000}">
      <text>
        <r>
          <rPr>
            <sz val="12"/>
            <color theme="1"/>
            <rFont val="Aptos Narrow"/>
            <family val="2"/>
            <charset val="1"/>
          </rPr>
          <t>COGS × DPO / 365.</t>
        </r>
      </text>
    </comment>
    <comment ref="B146" authorId="1" shapeId="0" xr:uid="{00000000-0006-0000-0100-000040000000}">
      <text>
        <r>
          <rPr>
            <sz val="12"/>
            <color theme="1"/>
            <rFont val="Aptos Narrow"/>
            <family val="2"/>
            <charset val="1"/>
          </rPr>
          <t>Existing debt less current portion.</t>
        </r>
      </text>
    </comment>
    <comment ref="B153" authorId="1" shapeId="0" xr:uid="{00000000-0006-0000-0100-000041000000}">
      <text>
        <r>
          <rPr>
            <sz val="12"/>
            <color theme="1"/>
            <rFont val="Aptos Narrow"/>
            <family val="2"/>
            <charset val="1"/>
          </rPr>
          <t>Must equal zero — balance sheet integrity check.</t>
        </r>
      </text>
    </comment>
    <comment ref="B197" authorId="3" shapeId="0" xr:uid="{00000000-0006-0000-0100-000042000000}">
      <text>
        <r>
          <rPr>
            <sz val="12"/>
            <color theme="1"/>
            <rFont val="Aptos Narrow"/>
            <family val="2"/>
            <charset val="1"/>
          </rPr>
          <t>WACC Tax Rate Methodology Note:
• WACC debt shield uses 25% (cell B195) — the hypothetical corporate marginal rate applicable to interest deductions. This is standard Damodaran/Koller methodology for computing the tax benefit of debt in WACC.
• Entity-level tax rate is 31% (cell B13) — the actual pass-through effective rate paid by the LLC members on distributed/allocated income. Used for tax distributions on the Income Statement.
• These are intentionally different rates serving different purposes:
  - 25% captures the marginal tax benefit of $1 of interest deduction
  - 31% captures the actual tax burden on entity income flowing to members
• The DCF UFCF build (DCF &amp; Returns row 7) applies the 31% entity rate to EBIT for consistency with the pass-through structure. This is conservative — a C-corp comparison at 25% would show higher UFCF.
Source: Damodaran, 'Investment Valuation' Ch. 8; McKinsey/Koller, 'Valuation' Ch. 13.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Walker Anderson</author>
  </authors>
  <commentList>
    <comment ref="C46" authorId="0" shapeId="0" xr:uid="{00000000-0006-0000-0200-000001000000}">
      <text>
        <r>
          <rPr>
            <sz val="12"/>
            <color theme="1"/>
            <rFont val="Aptos Narrow"/>
            <family val="2"/>
            <charset val="1"/>
          </rPr>
          <t>WACC = 12.0% base (private calibration).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MOLT</author>
    <author>Walker Anderson</author>
  </authors>
  <commentList>
    <comment ref="O9" authorId="0" shapeId="0" xr:uid="{00000000-0006-0000-0300-000001000000}">
      <text>
        <r>
          <rPr>
            <sz val="12"/>
            <color theme="1"/>
            <rFont val="Aptos Narrow"/>
            <family val="2"/>
            <charset val="1"/>
          </rPr>
          <t>Walker Anderson:
Brokerage modeled at a simple 4% growth rate, not impacted by weighting</t>
        </r>
      </text>
    </comment>
    <comment ref="A12" authorId="1" shapeId="0" xr:uid="{00000000-0006-0000-0300-000002000000}">
      <text>
        <r>
          <rPr>
            <sz val="12"/>
            <color theme="1"/>
            <rFont val="Aptos Narrow"/>
            <family val="2"/>
            <charset val="1"/>
          </rPr>
          <t>Workers' Comp is embedded within COGS direct labor across all divisions. WC is one of the largest cost drivers (1.5–6% of revenue depending on division) — pipefitters at $5–$15/$100 payroll (NCCI), hazmat drivers at elevated rates, generator techs at $1.44–$2.63/$100. For diligence, WC should be broken out as a separate line to validate adequacy of COGS assumptions.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Walker Anderson</author>
    <author>MOLT</author>
  </authors>
  <commentList>
    <comment ref="N9" authorId="0" shapeId="0" xr:uid="{00000000-0006-0000-0500-000001000000}">
      <text>
        <r>
          <rPr>
            <sz val="12"/>
            <color theme="1"/>
            <rFont val="Aptos Narrow"/>
            <family val="2"/>
            <charset val="1"/>
          </rPr>
          <t>% of revenue, anchored to opening ratio (41/5812=0.71%)</t>
        </r>
      </text>
    </comment>
    <comment ref="K13" authorId="1" shapeId="0" xr:uid="{00000000-0006-0000-0500-000002000000}">
      <text>
        <r>
          <rPr>
            <sz val="12"/>
            <color theme="1"/>
            <rFont val="Aptos Narrow"/>
            <family val="2"/>
            <charset val="1"/>
          </rPr>
          <t>Walker Anderson:
$200K PP&amp;E conveyed with Installations acquisition (Nov 2026). Non-cash — assets transfer at book value.</t>
        </r>
      </text>
    </comment>
    <comment ref="K16" authorId="1" shapeId="0" xr:uid="{00000000-0006-0000-0500-000003000000}">
      <text>
        <r>
          <rPr>
            <sz val="12"/>
            <color theme="1"/>
            <rFont val="Aptos Narrow"/>
            <family val="2"/>
            <charset val="1"/>
          </rPr>
          <t>Walker Anderson:
Goodwill carried at cost (per ASU 2014-02 'private company election'.) Subject to impairment testing--not amortized--my understanding.</t>
        </r>
      </text>
    </comment>
    <comment ref="N16" authorId="1" shapeId="0" xr:uid="{27A8C6C5-2E37-B245-A149-41F58D352522}">
      <text>
        <r>
          <rPr>
            <b/>
            <sz val="10"/>
            <color rgb="FF000000"/>
            <rFont val="Tahoma"/>
            <family val="2"/>
          </rPr>
          <t>Walker Anderson:
Goodwill set as plug to balance BS. Original value from Installations acquisition reduced by stub-period amortization timing difference (~$55K in Base case). Adjusts dynamically by scenario.</t>
        </r>
      </text>
    </comment>
    <comment ref="N49" authorId="1" shapeId="0" xr:uid="{00000000-0006-0000-0500-000004000000}">
      <text>
        <r>
          <rPr>
            <sz val="12"/>
            <color theme="1"/>
            <rFont val="Aptos Narrow"/>
            <family val="2"/>
            <charset val="1"/>
          </rPr>
          <t>Balance check resolved. Goodwill (N16) now serves as the BS plug, absorbing the stub-period amortization timing difference. Adjusts dynamically per scenario/tier selection.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MOLT</author>
  </authors>
  <commentList>
    <comment ref="A44" authorId="0" shapeId="0" xr:uid="{00000000-0006-0000-0700-000001000000}">
      <text>
        <r>
          <rPr>
            <sz val="12"/>
            <color theme="1"/>
            <rFont val="Aptos Narrow"/>
            <family val="2"/>
            <charset val="1"/>
          </rPr>
          <t>RECONCILIATION NOTE: This $600K represents the initial draw at close (Commitment × Draw Schedule = $1,000K × 60%). It is modeled as a fixed term draw — no monthly draws/repayments occur. The Credit Facility Analysis sheet models ADDITIONAL contingency draws from the REMAINING facility capacity ($400K undrawn). These are two separate concepts: (1) this term draw provides closing liquidity, and (2) the CFA models standby capacity for downside scenarios.</t>
        </r>
      </text>
    </comment>
  </commentList>
</comments>
</file>

<file path=xl/sharedStrings.xml><?xml version="1.0" encoding="utf-8"?>
<sst xmlns="http://schemas.openxmlformats.org/spreadsheetml/2006/main" count="1018" uniqueCount="671">
  <si>
    <t>APOLLO ENERGY RESOURCES — BALANCE SHEET ($000s)</t>
  </si>
  <si>
    <t>Opening</t>
  </si>
  <si>
    <t>FY2027E</t>
  </si>
  <si>
    <t>FY2028E</t>
  </si>
  <si>
    <t>FY2029E</t>
  </si>
  <si>
    <t>FY2030E</t>
  </si>
  <si>
    <t>ASSETS</t>
  </si>
  <si>
    <t>Current Assets</t>
  </si>
  <si>
    <t xml:space="preserve">  Cash &amp; Cash Equivalents</t>
  </si>
  <si>
    <t xml:space="preserve">  Accounts Receivable</t>
  </si>
  <si>
    <t xml:space="preserve">  Inventory (Fleet Services)</t>
  </si>
  <si>
    <t xml:space="preserve">  Prepaid Expenses</t>
  </si>
  <si>
    <t xml:space="preserve">  Other Current Assets</t>
  </si>
  <si>
    <t>Total Current Assets</t>
  </si>
  <si>
    <t>Non-Current Assets</t>
  </si>
  <si>
    <t xml:space="preserve">  PP&amp;E (Gross)</t>
  </si>
  <si>
    <t xml:space="preserve">  Less: Accumulated Depreciation</t>
  </si>
  <si>
    <t xml:space="preserve">  PP&amp;E (Net)</t>
  </si>
  <si>
    <t xml:space="preserve">  Goodwill ¹</t>
  </si>
  <si>
    <t xml:space="preserve">  Customer Relationships ¹</t>
  </si>
  <si>
    <t xml:space="preserve">  Assembled Workforce ¹</t>
  </si>
  <si>
    <t xml:space="preserve">  Backlog / Excess Opportunities ¹</t>
  </si>
  <si>
    <t xml:space="preserve">  Intangible Assets (Trade Name) ¹</t>
  </si>
  <si>
    <t xml:space="preserve">  Acquired AR, Inventory &amp; Cash ¹</t>
  </si>
  <si>
    <t xml:space="preserve">  ¹ Installations Acquisition — See Assumptions</t>
  </si>
  <si>
    <t xml:space="preserve">  Other Long-Term Assets</t>
  </si>
  <si>
    <t>Total Non-Current Assets</t>
  </si>
  <si>
    <t>TOTAL ASSETS</t>
  </si>
  <si>
    <t>LIABILITIES</t>
  </si>
  <si>
    <t>Current Liabilities</t>
  </si>
  <si>
    <t xml:space="preserve">  Accounts Payable</t>
  </si>
  <si>
    <t xml:space="preserve">  Accrued Expenses</t>
  </si>
  <si>
    <t xml:space="preserve">  Current Portion of LTD</t>
  </si>
  <si>
    <t>Total Current Liabilities</t>
  </si>
  <si>
    <t>Non-Current Liabilities</t>
  </si>
  <si>
    <t xml:space="preserve">  Long-Term Debt</t>
  </si>
  <si>
    <t>Total Non-Current Liabilities</t>
  </si>
  <si>
    <t>TOTAL LIABILITIES</t>
  </si>
  <si>
    <t>EQUITY</t>
  </si>
  <si>
    <t xml:space="preserve">  Beginning Equity</t>
  </si>
  <si>
    <t xml:space="preserve">  Net Income</t>
  </si>
  <si>
    <t xml:space="preserve">  Distributions / Draws</t>
  </si>
  <si>
    <t>Ending Equity</t>
  </si>
  <si>
    <t>TOTAL LIABILITIES &amp; EQUITY</t>
  </si>
  <si>
    <t>Balance Check (Assets - L&amp;E)</t>
  </si>
  <si>
    <t>Apollo Energy Resources — Confidential  |  Balance Sheet  |  Mar 2026</t>
  </si>
  <si>
    <t>APOLLO ENERGY RESOURCES</t>
  </si>
  <si>
    <t>Pro Forma Financial Model  ·  Confidential  ·  March 2026</t>
  </si>
  <si>
    <t>KEY MODEL OUTPUTS</t>
  </si>
  <si>
    <t>DCF Cross-Check</t>
  </si>
  <si>
    <t>Active Scenario</t>
  </si>
  <si>
    <t>DCF Enterprise Value</t>
  </si>
  <si>
    <t>5-Year MOIC</t>
  </si>
  <si>
    <t>Exit Equity (Hyper Bear)</t>
  </si>
  <si>
    <t>Exit Equity (Hyper Bull)</t>
  </si>
  <si>
    <t>MODEL STRUCTURE</t>
  </si>
  <si>
    <t>Sheet</t>
  </si>
  <si>
    <t>Function</t>
  </si>
  <si>
    <t>Key Output</t>
  </si>
  <si>
    <t>Status</t>
  </si>
  <si>
    <t>Color</t>
  </si>
  <si>
    <t>Assumptions</t>
  </si>
  <si>
    <t>Inputs, growth rates, margins, scenarios</t>
  </si>
  <si>
    <t>Scenario toggle (Bull/Base/Bear)</t>
  </si>
  <si>
    <t>✓</t>
  </si>
  <si>
    <t>●</t>
  </si>
  <si>
    <t>Control Panel</t>
  </si>
  <si>
    <t>5-scenario × 5-credit-tier toggle interface</t>
  </si>
  <si>
    <t>Master scenario &amp; credit dropdowns</t>
  </si>
  <si>
    <t>Revenue Build</t>
  </si>
  <si>
    <t>Monthly revenue by division (5 divs)</t>
  </si>
  <si>
    <t>Income Statement</t>
  </si>
  <si>
    <t>Monthly → annual consolidated P&amp;L</t>
  </si>
  <si>
    <t>Balance Sheet</t>
  </si>
  <si>
    <t>Annual balance sheet (FY2026–FY2030)</t>
  </si>
  <si>
    <t>Cash Flow</t>
  </si>
  <si>
    <t>Monthly cash flow statement</t>
  </si>
  <si>
    <t>Monthly NI sums to annual CF</t>
  </si>
  <si>
    <t>Debt Schedule</t>
  </si>
  <si>
    <t>Amortization, covenants, monthly detail</t>
  </si>
  <si>
    <t>DCF &amp; Returns</t>
  </si>
  <si>
    <t>DCF with sensitivity table</t>
  </si>
  <si>
    <t>KEY ASSUMPTIONS</t>
  </si>
  <si>
    <t>Forecast horizon</t>
  </si>
  <si>
    <t>5 years (FY2026E – FY2030E)</t>
  </si>
  <si>
    <t>Entity structure</t>
  </si>
  <si>
    <t>Pass-through LLC (31% tax rate)</t>
  </si>
  <si>
    <t>Year 1 granularity</t>
  </si>
  <si>
    <t>Monthly</t>
  </si>
  <si>
    <t>Exit multiple</t>
  </si>
  <si>
    <t>WACC</t>
  </si>
  <si>
    <t>Equity investment</t>
  </si>
  <si>
    <t>Terminal growth rate</t>
  </si>
  <si>
    <t>Total capital injection</t>
  </si>
  <si>
    <t>Revenue CAGR (5-yr)</t>
  </si>
  <si>
    <t>Depreciation</t>
  </si>
  <si>
    <t>5-year straight-line</t>
  </si>
  <si>
    <t>FY2025A revenue</t>
  </si>
  <si>
    <t>$4,916K (Apollo actual, excl. Installations acq.)</t>
  </si>
  <si>
    <t>Scenario toggle</t>
  </si>
  <si>
    <t>FY2030E revenue</t>
  </si>
  <si>
    <t>Installations acquisition</t>
  </si>
  <si>
    <t>FY2026 (Month 16 base timing)</t>
  </si>
  <si>
    <t>Blended GM (FY2030)</t>
  </si>
  <si>
    <t>Covenant max Debt/EBITDA</t>
  </si>
  <si>
    <t>COLOR CODING CONVENTIONS</t>
  </si>
  <si>
    <t>Blue text</t>
  </si>
  <si>
    <t>Hardcoded inputs — values the user can change for scenario analysis</t>
  </si>
  <si>
    <t>Black text</t>
  </si>
  <si>
    <t>Formulas and calculations — do not overwrite</t>
  </si>
  <si>
    <t>Yellow highlight</t>
  </si>
  <si>
    <t>Key assumptions that need attention or verification</t>
  </si>
  <si>
    <t>Green text</t>
  </si>
  <si>
    <t>Cross-sheet links pulling from other worksheets</t>
  </si>
  <si>
    <t>SHEET TAB COLORS BY FUNCTION</t>
  </si>
  <si>
    <t>Dark Navy</t>
  </si>
  <si>
    <t>Navigation &amp; Controls</t>
  </si>
  <si>
    <t>Cover Page, Assumptions, Control Panel</t>
  </si>
  <si>
    <t>Gray</t>
  </si>
  <si>
    <t>Actuals (locked)</t>
  </si>
  <si>
    <t>Green</t>
  </si>
  <si>
    <t>Core Financial Statements</t>
  </si>
  <si>
    <t>Revenue Build, IS, BS, CF</t>
  </si>
  <si>
    <t>Red</t>
  </si>
  <si>
    <t>Risk &amp; Stress Testing</t>
  </si>
  <si>
    <t>Orange</t>
  </si>
  <si>
    <t>Debt &amp; Credit</t>
  </si>
  <si>
    <t>Purple</t>
  </si>
  <si>
    <t>Valuation &amp; Returns</t>
  </si>
  <si>
    <t>CRITICAL NOTES</t>
  </si>
  <si>
    <t>The scenario toggle on the Control Panel sheet (C7/C8) drives the entire model. Use the dropdowns to switch scenarios and credit tiers. Revenue, margins, and all downstream sheets update automatically.</t>
  </si>
  <si>
    <t>All revenue and margin inputs are blue text. All formulas are black. Do not overwrite black cells.</t>
  </si>
  <si>
    <t>Installations is an acquisition ($1.8M trailing revenue). FY2025A column shows target's pre-acquisition revenue as CAGR base. Apollo consolidated Installations revenue was $0 in FY2025A — acquisition ideally closes FY2026.</t>
  </si>
  <si>
    <t>Apollo Energy Resources — Confidential  |  Pro Forma Financial Model  |  Mar 2026</t>
  </si>
  <si>
    <t>APOLLO ENERGY RESOURCES — KEY ASSUMPTIONS</t>
  </si>
  <si>
    <t>GENERAL ASSUMPTIONS</t>
  </si>
  <si>
    <t>Model Start Date</t>
  </si>
  <si>
    <t>Forecast Horizon (Years)</t>
  </si>
  <si>
    <t>Year 1 Granularity</t>
  </si>
  <si>
    <t>Currency</t>
  </si>
  <si>
    <t>USD ($)</t>
  </si>
  <si>
    <t>Units</t>
  </si>
  <si>
    <t>Thousands ($000s)</t>
  </si>
  <si>
    <t>Installations = acquisition ($1.8M trailing rev). FY2026 = first year under Apollo ownership.</t>
  </si>
  <si>
    <t>Terminal Growth Rate</t>
  </si>
  <si>
    <t>Effective Tax Rate (Pass-Through)</t>
  </si>
  <si>
    <t>Blended Net Margin Target (5-Yr)</t>
  </si>
  <si>
    <t>Blended Revenue Growth (Avg)</t>
  </si>
  <si>
    <t>CAPEX as % of Revenue Growth</t>
  </si>
  <si>
    <t>Back-Office Efficiency Discount</t>
  </si>
  <si>
    <t>Depreciation — Useful Life (Years)</t>
  </si>
  <si>
    <t>Note: FY2026E-FY2030E revenue inputs below are base figures only. Revenue Build applies the selected scenario multiplier and winter/seasonality uplift, so reported revenue can be higher than these base inputs.</t>
  </si>
  <si>
    <t>REVENUE ASSUMPTIONS BY DIVISION</t>
  </si>
  <si>
    <t>Revenue ($000s)</t>
  </si>
  <si>
    <t>2025A PF</t>
  </si>
  <si>
    <t>2026E</t>
  </si>
  <si>
    <t>2027E</t>
  </si>
  <si>
    <t>2028E</t>
  </si>
  <si>
    <t>2029E</t>
  </si>
  <si>
    <t>2030E</t>
  </si>
  <si>
    <t>5-Yr CAGR</t>
  </si>
  <si>
    <t>Logistics</t>
  </si>
  <si>
    <t>Field Services</t>
  </si>
  <si>
    <t>Installations</t>
  </si>
  <si>
    <t>$1.4M FY2026 baseline. Growth trajectory maintained. Target: 18% div net margin FY2026, +5bps/yr improvement (goal).</t>
  </si>
  <si>
    <t>Apollo Fleet Services</t>
  </si>
  <si>
    <t>Apollo Power Management</t>
  </si>
  <si>
    <t>Total Revenue</t>
  </si>
  <si>
    <t>YoY Revenue Growth</t>
  </si>
  <si>
    <t>Brokerage Gross Margin</t>
  </si>
  <si>
    <t>Pass-through margin on ~$1,182K brokerage revenue</t>
  </si>
  <si>
    <t>Brokerage Base Revenue ($K)</t>
  </si>
  <si>
    <t>Brokerage Annual Growth Rate</t>
  </si>
  <si>
    <t>Other Current Assets (% of Revenue)</t>
  </si>
  <si>
    <t>GROSS MARGIN ASSUMPTIONS BY DIVISION</t>
  </si>
  <si>
    <t>Gross Margin %</t>
  </si>
  <si>
    <t>Notes</t>
  </si>
  <si>
    <t>Insurance-heavy; marginal improvement only</t>
  </si>
  <si>
    <t>Ramp from 38% to target +700bps over 5yr; management targets above industry.</t>
  </si>
  <si>
    <t>45% GM per mgmt (electrical contractors avg 40-50%)</t>
  </si>
  <si>
    <t>Equipment maintenance 25-30% GM range; steady improvement via utilization</t>
  </si>
  <si>
    <t>25% blended start per mgmt (compliance infra already in place)</t>
  </si>
  <si>
    <t>Blended Gross Margin</t>
  </si>
  <si>
    <t>OPERATING EXPENSE ASSUMPTIONS</t>
  </si>
  <si>
    <t>Operating Expenses ($000s)</t>
  </si>
  <si>
    <t>2025A</t>
  </si>
  <si>
    <t>Insurance — Installations</t>
  </si>
  <si>
    <t>5% annual escalation — normalized baseline</t>
  </si>
  <si>
    <t>Insurance — Logistics</t>
  </si>
  <si>
    <t>5% annual escalation; normalized baseline</t>
  </si>
  <si>
    <t>Insurance — Other Divisions</t>
  </si>
  <si>
    <t>5% annual escalation — Field Svc/Fleet/Power Mgmt combined</t>
  </si>
  <si>
    <t>Total Insurance</t>
  </si>
  <si>
    <t>Back-Office / Admin Payroll</t>
  </si>
  <si>
    <t>Industry ~3.5% of revenue</t>
  </si>
  <si>
    <t>Corporate Overhead (G&amp;A)</t>
  </si>
  <si>
    <t>~5% annual inflation escalation</t>
  </si>
  <si>
    <t>Sales &amp; Marketing</t>
  </si>
  <si>
    <t>$80K base FY2026-27; scales with growth FY2028+ per mgmt</t>
  </si>
  <si>
    <t>Software / Hardware / IT</t>
  </si>
  <si>
    <t>Minimal — owner builds vertical software</t>
  </si>
  <si>
    <t>Depreciation &amp; Amortization</t>
  </si>
  <si>
    <t>Linked from Debt Schedule; straight-line 5-yr useful life</t>
  </si>
  <si>
    <t>Total Operating Expenses</t>
  </si>
  <si>
    <t>OpEx as % of Revenue</t>
  </si>
  <si>
    <t>Other Income / Corporate Adjustment</t>
  </si>
  <si>
    <t>CAPEX &amp; WORKING CAPITAL ASSUMPTIONS</t>
  </si>
  <si>
    <t>CAPEX ($000s)</t>
  </si>
  <si>
    <t>Growth CAPEX</t>
  </si>
  <si>
    <t>40% of incremental revenue growth (midpoint 30-50%)</t>
  </si>
  <si>
    <t>Maintenance CAPEX</t>
  </si>
  <si>
    <t>1.5% of revenue — fleet/equipment maintenance</t>
  </si>
  <si>
    <t>Total CAPEX</t>
  </si>
  <si>
    <t>Working Capital Drivers</t>
  </si>
  <si>
    <t>Assumption</t>
  </si>
  <si>
    <t>Days Sales Outstanding (DSO)</t>
  </si>
  <si>
    <t>Net-30 terms; avg collection 33–36 days. Declining from 36→33 as processes mature.</t>
  </si>
  <si>
    <t>Days Payable Outstanding (DPO)</t>
  </si>
  <si>
    <t>15-day max to owner-operators; structural float</t>
  </si>
  <si>
    <t>Inventory Days (Fleet Svc Only)</t>
  </si>
  <si>
    <t>~10% of Fleet Services annual revenue</t>
  </si>
  <si>
    <t>Working Capital Gap (DSO - DPO)</t>
  </si>
  <si>
    <t>21-day structural float; key Logistics risk</t>
  </si>
  <si>
    <t>Inventory as % of Fleet Svc Revenue</t>
  </si>
  <si>
    <t>Per mgmt guidance</t>
  </si>
  <si>
    <t>Prepaid Expenses (% of OpEx)</t>
  </si>
  <si>
    <t>Standard — insurance prepayments</t>
  </si>
  <si>
    <t>DEBT &amp; CAPITAL STRUCTURE</t>
  </si>
  <si>
    <t>Capital Injection ($000s)</t>
  </si>
  <si>
    <t>Amount</t>
  </si>
  <si>
    <t>% of Total</t>
  </si>
  <si>
    <t>Rate</t>
  </si>
  <si>
    <t>Term (Yrs)</t>
  </si>
  <si>
    <t>Monthly Pmt</t>
  </si>
  <si>
    <t>Term Debt</t>
  </si>
  <si>
    <t>Standard commercial term loan</t>
  </si>
  <si>
    <t>Equity Investment</t>
  </si>
  <si>
    <t>n/a</t>
  </si>
  <si>
    <t>Owner equity contribution</t>
  </si>
  <si>
    <t>Line of Credit / Mezz Debt</t>
  </si>
  <si>
    <t>Revolving; interest-only payments</t>
  </si>
  <si>
    <t>Total Capital Injection</t>
  </si>
  <si>
    <t>Existing Debt ($000s)</t>
  </si>
  <si>
    <t>Balance</t>
  </si>
  <si>
    <t>Truck Leases (Existing)</t>
  </si>
  <si>
    <t>Balloon option declined; will not own</t>
  </si>
  <si>
    <t>Other Existing Debt</t>
  </si>
  <si>
    <t>Equipment/other financing</t>
  </si>
  <si>
    <t>Total Existing Debt</t>
  </si>
  <si>
    <t>Total debt svc: ~$32K/mo per mgmt</t>
  </si>
  <si>
    <t>New Debt (May 2026)</t>
  </si>
  <si>
    <t>ISO Tank Lease-to-Own</t>
  </si>
  <si>
    <t>Starts May 2026; 80%+ equity at maturity</t>
  </si>
  <si>
    <t>Work Truck Notes</t>
  </si>
  <si>
    <t>0 down; 5-yr amortizing notes at 7%</t>
  </si>
  <si>
    <t>Acquisition Debt (Nov 2026)</t>
  </si>
  <si>
    <t>Seller Note (Installations)</t>
  </si>
  <si>
    <t>Seller-financed; 7% fixed, 5-yr amortizing. ~$27.7K/mo.</t>
  </si>
  <si>
    <t>Apollo Acquisition Term Note</t>
  </si>
  <si>
    <t>Bank-financed acquisition note; 9% fixed, 5-yr amortizing. ~$6.2K/mo.</t>
  </si>
  <si>
    <t>Total Acquisition Debt</t>
  </si>
  <si>
    <t>Total acquisition debt svc: ~$33.9K/mo</t>
  </si>
  <si>
    <t>Total Acquisition Cost</t>
  </si>
  <si>
    <t>$2M total: $600K cash at close + $1.4M seller-financed</t>
  </si>
  <si>
    <t>Covenant Holiday (months)</t>
  </si>
  <si>
    <t>DEBT COVENANTS</t>
  </si>
  <si>
    <t>Threshold</t>
  </si>
  <si>
    <t>Tier 1</t>
  </si>
  <si>
    <t>Tier 2</t>
  </si>
  <si>
    <t>Tier 3</t>
  </si>
  <si>
    <t>Tier 4</t>
  </si>
  <si>
    <t>Active</t>
  </si>
  <si>
    <t>Max Debt / EBITDA</t>
  </si>
  <si>
    <t>Industry std for energy services</t>
  </si>
  <si>
    <t>Min Interest Coverage Ratio</t>
  </si>
  <si>
    <t>EBITDA / Interest Expense ≥ 2.5x</t>
  </si>
  <si>
    <t>Min Fixed Charge Coverage</t>
  </si>
  <si>
    <t>(EBITDA - CAPEX) / (Debt Svc + Tax) ≥ 1.25x</t>
  </si>
  <si>
    <t>Min Liquidity ($000s)</t>
  </si>
  <si>
    <t>Cash + available LOC headroom</t>
  </si>
  <si>
    <t>Max Distributions (% of NI)</t>
  </si>
  <si>
    <t>Pass-through tax distributions + discretionary</t>
  </si>
  <si>
    <t>Required Tax Distribution (% of NI)</t>
  </si>
  <si>
    <t>Mandatory for pass-through tax liability</t>
  </si>
  <si>
    <t>Discretionary Distribution (% of NI)</t>
  </si>
  <si>
    <t>Subject to covenant compliance</t>
  </si>
  <si>
    <t>SEASONALITY CURVE — MONTHLY REVENUE DISTRIBUTION (YEAR 1)</t>
  </si>
  <si>
    <t>Monthly % of Annual Revenue</t>
  </si>
  <si>
    <t>Jan</t>
  </si>
  <si>
    <t>Feb</t>
  </si>
  <si>
    <t>Mar</t>
  </si>
  <si>
    <t>Apr</t>
  </si>
  <si>
    <t>May</t>
  </si>
  <si>
    <t>Jun</t>
  </si>
  <si>
    <t>Jul</t>
  </si>
  <si>
    <t>Aug</t>
  </si>
  <si>
    <t>Sep</t>
  </si>
  <si>
    <t>Oct</t>
  </si>
  <si>
    <t>Nov</t>
  </si>
  <si>
    <t>Dec</t>
  </si>
  <si>
    <t>Check</t>
  </si>
  <si>
    <t>Blended Monthly Weight</t>
  </si>
  <si>
    <t>SEASONAL GROSS MARGIN ADJUSTMENTS (Δ GM% by Month)</t>
  </si>
  <si>
    <t>Monthly GM Adj %</t>
  </si>
  <si>
    <t>Blended Seasonal Adj</t>
  </si>
  <si>
    <t>OPENING BALANCE SHEET (DEC 31, 2025)</t>
  </si>
  <si>
    <t>$000s</t>
  </si>
  <si>
    <t>Cash &amp; Cash Equivalents</t>
  </si>
  <si>
    <t>Accounts Receivable</t>
  </si>
  <si>
    <t>Inventory (Fleet Services)</t>
  </si>
  <si>
    <t>Prepaid Expenses</t>
  </si>
  <si>
    <t>Other Current Assets</t>
  </si>
  <si>
    <t>Property, Plant &amp; Equipment (Gross)</t>
  </si>
  <si>
    <t>Less: Accumulated Depreciation</t>
  </si>
  <si>
    <t>PP&amp;E (Net)</t>
  </si>
  <si>
    <t>Other Long-Term Assets</t>
  </si>
  <si>
    <t>Total Assets</t>
  </si>
  <si>
    <t>Accounts Payable</t>
  </si>
  <si>
    <t>Accrued Expenses</t>
  </si>
  <si>
    <t>Current Portion of Debt</t>
  </si>
  <si>
    <t>Long-Term Debt</t>
  </si>
  <si>
    <t>Total Liabilities</t>
  </si>
  <si>
    <t>Owner's Equity / Retained Earnings</t>
  </si>
  <si>
    <t>Total Liabilities &amp; Equity</t>
  </si>
  <si>
    <t>SCENARIO ASSUMPTIONS (5-SCENARIO ENGINE)</t>
  </si>
  <si>
    <t>CALIBRATION VALUES (Reference)</t>
  </si>
  <si>
    <t>Scenario Toggle</t>
  </si>
  <si>
    <t>Hyper Bear</t>
  </si>
  <si>
    <t>Bear</t>
  </si>
  <si>
    <t>Base</t>
  </si>
  <si>
    <t>Bull</t>
  </si>
  <si>
    <t>Hyper Bull</t>
  </si>
  <si>
    <t>Active Value</t>
  </si>
  <si>
    <t>Probability Weight</t>
  </si>
  <si>
    <t>Must sum to 100%</t>
  </si>
  <si>
    <t>Heavier tails (+3 HB, +2 Bear)</t>
  </si>
  <si>
    <t>Insurance Cost Multiplier</t>
  </si>
  <si>
    <t>Applied to base insurance expense</t>
  </si>
  <si>
    <t>Bull &amp; Hyper Bull TGR = 2.5%. Conservative — upside captured via higher CAPEX reinvestment % and exit multiples.</t>
  </si>
  <si>
    <t>Bull/HBull capped at 2.5%</t>
  </si>
  <si>
    <t>WACC Scenario Adjustment</t>
  </si>
  <si>
    <t>Risk premium shift; feeds WACC calc</t>
  </si>
  <si>
    <t>Fixed (WACC set at cell level)</t>
  </si>
  <si>
    <t>CAPEX Growth Reinvestment %</t>
  </si>
  <si>
    <t>% of revenue growth reinvested as CAPEX</t>
  </si>
  <si>
    <t>HB/Bear: lower reinvestment</t>
  </si>
  <si>
    <t>Customer Concentration Haircut</t>
  </si>
  <si>
    <t>Logistics top-customer loss risk</t>
  </si>
  <si>
    <t>+5pp HB, +2pp Bear</t>
  </si>
  <si>
    <t>Extreme Winter Years (of 5)</t>
  </si>
  <si>
    <t>Drives Field Svcs seasonal uplift</t>
  </si>
  <si>
    <t>Winter Revenue Uplift</t>
  </si>
  <si>
    <t>Emergency call-out &amp; overtime boost</t>
  </si>
  <si>
    <t>Exit Multiple (EV/EBITDA)</t>
  </si>
  <si>
    <t>Scenario-dependent; replaces fixed 9.5×</t>
  </si>
  <si>
    <t>OFS Recovery Lag (cap %)</t>
  </si>
  <si>
    <t>Cap Field Svcs Y+1 at % of Base after bear</t>
  </si>
  <si>
    <t>−10pp HB, −10pp Bear</t>
  </si>
  <si>
    <t>Working Capital Days (net)</t>
  </si>
  <si>
    <t>Scenario-linked DSO-DPO; countercyclical</t>
  </si>
  <si>
    <t>+5 HB, +3 Bear</t>
  </si>
  <si>
    <t>DIVISION REVENUE MULTIPLIERS</t>
  </si>
  <si>
    <t>Scales base revenue per division</t>
  </si>
  <si>
    <t>REV MULTIPLIERS</t>
  </si>
  <si>
    <t>NAICS 484230 — Specialized Freight</t>
  </si>
  <si>
    <t>HB −7pp, Bear −3pp</t>
  </si>
  <si>
    <t>NAICS 213112 — O&amp;G Support (MOST VOLATILE)</t>
  </si>
  <si>
    <t>HB −7pp, Bear −8pp</t>
  </si>
  <si>
    <t>Fleet Services</t>
  </si>
  <si>
    <t>NAICS 811114 (80%) + 811310 (20%)</t>
  </si>
  <si>
    <t>HB −2pp, Bear −1pp</t>
  </si>
  <si>
    <t>Power Management</t>
  </si>
  <si>
    <t>238210 (40%) + 811310 (35%) + 811114 (25%)</t>
  </si>
  <si>
    <t>HB −4pp, Bear −2pp</t>
  </si>
  <si>
    <t>811310 (40%) + 238210 (40%) + 811114 (20%)</t>
  </si>
  <si>
    <t>HB −3pp, Bear −2pp</t>
  </si>
  <si>
    <t>DIVISION GM SCENARIO DELTA (ppt)</t>
  </si>
  <si>
    <t>Added to base GM per year</t>
  </si>
  <si>
    <t>GM DELTAS</t>
  </si>
  <si>
    <t>NAICS 484230</t>
  </si>
  <si>
    <t>NAICS 213112 — widest swing</t>
  </si>
  <si>
    <t>811114/811310 blend</t>
  </si>
  <si>
    <t>HB −1pp, Bear −0.5pp</t>
  </si>
  <si>
    <t>238210/811310/811114 blend</t>
  </si>
  <si>
    <t>811310/238210/811114 blend</t>
  </si>
  <si>
    <t>SCENARIO TOGGLE ►</t>
  </si>
  <si>
    <t>◄ Select: Hyper Bear / Bear / Base / Bull / Hyper Bull</t>
  </si>
  <si>
    <t>CREDIT TIER TOGGLE ►</t>
  </si>
  <si>
    <t>CALIBRATION MODE</t>
  </si>
  <si>
    <t>Private</t>
  </si>
  <si>
    <t>Private (fixed)</t>
  </si>
  <si>
    <t>CREDIT FACILITY PARAMETERS</t>
  </si>
  <si>
    <t>No Facility</t>
  </si>
  <si>
    <t>Commitment ($K)</t>
  </si>
  <si>
    <t>Max draw amount</t>
  </si>
  <si>
    <t>Interest Rate (Annual)</t>
  </si>
  <si>
    <t>Rate on drawn balance</t>
  </si>
  <si>
    <t>Commitment Fee (Annual)</t>
  </si>
  <si>
    <t>Fee on undrawn balance</t>
  </si>
  <si>
    <t>Origination Fee ($K)</t>
  </si>
  <si>
    <t>One-time upfront cost</t>
  </si>
  <si>
    <t>Draw Schedule (% of Commitment)</t>
  </si>
  <si>
    <t>Assumed avg utilization Y1</t>
  </si>
  <si>
    <t>Term (Months)</t>
  </si>
  <si>
    <t>Facility maturity</t>
  </si>
  <si>
    <t>WACC CALCULATOR</t>
  </si>
  <si>
    <t>WACC BUILD-UP</t>
  </si>
  <si>
    <t>Cost of Equity (Ke)</t>
  </si>
  <si>
    <t>Component</t>
  </si>
  <si>
    <t>Calculation</t>
  </si>
  <si>
    <t>Weight</t>
  </si>
  <si>
    <t>Contribution</t>
  </si>
  <si>
    <t>User input — expected equity return</t>
  </si>
  <si>
    <t>Cost of Debt (Kd, pre-tax)</t>
  </si>
  <si>
    <t>Cost of Equity</t>
  </si>
  <si>
    <t>Ke × (E/V)</t>
  </si>
  <si>
    <t>Pulled from active credit tier rate</t>
  </si>
  <si>
    <t>Tax Rate</t>
  </si>
  <si>
    <t>Cost of Debt (after-tax)</t>
  </si>
  <si>
    <t>Kd × (1-t) × (D/V)</t>
  </si>
  <si>
    <t>Corporate debt shield rate (differs from 31% pass-through entity rate in B13)</t>
  </si>
  <si>
    <t>Debt / Total Capital</t>
  </si>
  <si>
    <t>Scenario Risk Premium</t>
  </si>
  <si>
    <t>Addl. Premium</t>
  </si>
  <si>
    <t>D / (D+E) from credit tier</t>
  </si>
  <si>
    <t>Equity / Total Capital</t>
  </si>
  <si>
    <t>E / (D+E)</t>
  </si>
  <si>
    <t>Estimated Equity Value ($K)</t>
  </si>
  <si>
    <t>User input — estimated total equity value</t>
  </si>
  <si>
    <t>Pulled from scenario WACC adjustment</t>
  </si>
  <si>
    <t>CALCULATED WACC</t>
  </si>
  <si>
    <t>Σ =</t>
  </si>
  <si>
    <t>WACC CONVERGENCE ENGINE</t>
  </si>
  <si>
    <t>WACC Mode</t>
  </si>
  <si>
    <t>Convergence</t>
  </si>
  <si>
    <t>Manual = fixed 11%/12%  |  Convergence = iterative build-up</t>
  </si>
  <si>
    <t>Step</t>
  </si>
  <si>
    <t>WACC Input</t>
  </si>
  <si>
    <t>PV of FCFs</t>
  </si>
  <si>
    <t>Terminal Value</t>
  </si>
  <si>
    <t>Equity Value</t>
  </si>
  <si>
    <t>D / (D+E)</t>
  </si>
  <si>
    <t>WACC Output</t>
  </si>
  <si>
    <t>CONVERGED</t>
  </si>
  <si>
    <t>Convergence Delta:</t>
  </si>
  <si>
    <t>Delta (bps)</t>
  </si>
  <si>
    <t>bps</t>
  </si>
  <si>
    <t>Manual Override:</t>
  </si>
  <si>
    <t>EXTENDED SCENARIO PARAMETERS</t>
  </si>
  <si>
    <t>GM Ramp Pace</t>
  </si>
  <si>
    <t>Scales year-over-year GM improvement vs FY2026 start; 0=flat, 1=base trajectory</t>
  </si>
  <si>
    <t>G&amp;A Scenario Multiplier</t>
  </si>
  <si>
    <t>Fixed cost deleveraging in bear; efficiency in bull</t>
  </si>
  <si>
    <t>S&amp;M Scenario Multiplier</t>
  </si>
  <si>
    <t>Cut in bear (preserve cash); invest in bull (capture upside)</t>
  </si>
  <si>
    <t>IT Scenario Multiplier</t>
  </si>
  <si>
    <t>Largely fixed; slight flex from contractual obligations</t>
  </si>
  <si>
    <t>Revenue Trajectory Drift (Annual)</t>
  </si>
  <si>
    <t>Compounds on div multipliers FY2027+; asymmetric — capped downside, aggressive upside</t>
  </si>
  <si>
    <t>DSO Scenario Adjustment (days)</t>
  </si>
  <si>
    <t>Added to base DSO trajectory; countercyclical (customers pay slower in downturn)</t>
  </si>
  <si>
    <t>Insurance Base Rate Factor</t>
  </si>
  <si>
    <t>Rate hardening in bear; scale benefits in bull. Compounds with Insurance Cost Multiplier (G158).</t>
  </si>
  <si>
    <t>Maintenance CAPEX %</t>
  </si>
  <si>
    <t>Deferred in bear; higher with rapid scaling in bull</t>
  </si>
  <si>
    <t>Control Panel  —  Scenario &amp; Credit Controls</t>
  </si>
  <si>
    <t>SCENARIO &amp; CREDIT CONTROLS</t>
  </si>
  <si>
    <t xml:space="preserve">  ◀ Click to select scenario</t>
  </si>
  <si>
    <t>Active Credit Tier</t>
  </si>
  <si>
    <t xml:space="preserve">  ◀ Click to select credit tier</t>
  </si>
  <si>
    <t>SCENARIO PARAMETERS</t>
  </si>
  <si>
    <t>Parameter</t>
  </si>
  <si>
    <t>Rev Multiplier — Logistics</t>
  </si>
  <si>
    <t>Rev Multiplier — Field Services</t>
  </si>
  <si>
    <t>Rev Multiplier — Installations</t>
  </si>
  <si>
    <t>Rev Multiplier — Fleet Services</t>
  </si>
  <si>
    <t>Rev Multiplier — Power Mgmt</t>
  </si>
  <si>
    <t>GM Delta — Avg (ppt)</t>
  </si>
  <si>
    <t>Insurance Multiplier</t>
  </si>
  <si>
    <t>CAPEX Reinvestment %</t>
  </si>
  <si>
    <t>WACC Scenario Adj</t>
  </si>
  <si>
    <t>Probability Weights</t>
  </si>
  <si>
    <t>G&amp;A Multiplier</t>
  </si>
  <si>
    <t>S&amp;M Multiplier</t>
  </si>
  <si>
    <t>IT Multiplier</t>
  </si>
  <si>
    <t>Rev Trajectory Drift</t>
  </si>
  <si>
    <t>DSO Adjustment (days)</t>
  </si>
  <si>
    <t>Insurance Base Factor</t>
  </si>
  <si>
    <t>ACTIVE CREDIT FACILITY</t>
  </si>
  <si>
    <t>Metric</t>
  </si>
  <si>
    <t>FY2026E</t>
  </si>
  <si>
    <t>Revenue ($K)</t>
  </si>
  <si>
    <t>Interest Rate</t>
  </si>
  <si>
    <t>Commitment Fee</t>
  </si>
  <si>
    <t>EBITDA ($K)</t>
  </si>
  <si>
    <t>Draw Schedule (%)</t>
  </si>
  <si>
    <t>Net Income ($K)</t>
  </si>
  <si>
    <t>Free Cash Flow ($K)</t>
  </si>
  <si>
    <t>Total Debt ($K)</t>
  </si>
  <si>
    <t>VALUATION SUMMARY</t>
  </si>
  <si>
    <t>Value</t>
  </si>
  <si>
    <t>MODEL INTEGRITY CHECKS</t>
  </si>
  <si>
    <t>Balance Sheet Balances</t>
  </si>
  <si>
    <t>Enterprise Value ($K)</t>
  </si>
  <si>
    <t>Cash Flow Reconciles</t>
  </si>
  <si>
    <t>Net Debt ($K)</t>
  </si>
  <si>
    <t>WACC &gt; TGR</t>
  </si>
  <si>
    <t>Gross Margin Realistic</t>
  </si>
  <si>
    <t>Equity Value ($K)</t>
  </si>
  <si>
    <t>Revenue Positive</t>
  </si>
  <si>
    <t>Equity Value Positive</t>
  </si>
  <si>
    <t>APOLLO ENERGY RESOURCES — REVENUE BUILD</t>
  </si>
  <si>
    <t>FY2026</t>
  </si>
  <si>
    <t>FY2027</t>
  </si>
  <si>
    <t>FY2028</t>
  </si>
  <si>
    <t>FY2029</t>
  </si>
  <si>
    <t>FY2030</t>
  </si>
  <si>
    <t>REVENUE BY DIVISION ($000s)</t>
  </si>
  <si>
    <t>Brokerage</t>
  </si>
  <si>
    <t>COST OF GOODS SOLD ($000s)</t>
  </si>
  <si>
    <t>Total COGS</t>
  </si>
  <si>
    <t>GROSS PROFIT ($000s)</t>
  </si>
  <si>
    <t>Gross Profit</t>
  </si>
  <si>
    <t>Apollo Energy Resources — Confidential  |  Revenue Build  |  Mar 2026</t>
  </si>
  <si>
    <t>APOLLO ENERGY RESOURCES — CONSOLIDATED INCOME STATEMENT ($000s)</t>
  </si>
  <si>
    <t>Revenue</t>
  </si>
  <si>
    <t>Cost of Goods Sold</t>
  </si>
  <si>
    <t>Operating Expenses:</t>
  </si>
  <si>
    <t xml:space="preserve">  Insurance — Total</t>
  </si>
  <si>
    <t xml:space="preserve">  Back-Office / Admin Payroll</t>
  </si>
  <si>
    <t xml:space="preserve">  Corporate Overhead (G&amp;A)</t>
  </si>
  <si>
    <t xml:space="preserve">  Sales &amp; Marketing</t>
  </si>
  <si>
    <t xml:space="preserve">  Software / Hardware / IT</t>
  </si>
  <si>
    <t xml:space="preserve">  Depreciation &amp; Amortization</t>
  </si>
  <si>
    <t>EBIT (Operating Income)</t>
  </si>
  <si>
    <t>EBIT Margin %</t>
  </si>
  <si>
    <t>Interest Expense</t>
  </si>
  <si>
    <t xml:space="preserve">  Other Income / Corporate Adjustment</t>
  </si>
  <si>
    <t>EBT (Earnings Before Tax)</t>
  </si>
  <si>
    <t>Tax Distributions (Pass-Through)</t>
  </si>
  <si>
    <t>Net Income</t>
  </si>
  <si>
    <t>Net Margin %</t>
  </si>
  <si>
    <t>EBITDA</t>
  </si>
  <si>
    <t>Apollo Energy Resources — Confidential  |  Income Statement  |  Mar 2026</t>
  </si>
  <si>
    <t>APOLLO ENERGY RESOURCES — CASH FLOW STATEMENT</t>
  </si>
  <si>
    <t>OPERATING ACTIVITIES</t>
  </si>
  <si>
    <t xml:space="preserve">  Changes in Working Capital:</t>
  </si>
  <si>
    <t xml:space="preserve">    Change in Accounts Receivable</t>
  </si>
  <si>
    <t xml:space="preserve">    Change in Inventory</t>
  </si>
  <si>
    <t xml:space="preserve">    Change in Prepaid Expenses</t>
  </si>
  <si>
    <t xml:space="preserve">    Change in Accounts Payable</t>
  </si>
  <si>
    <t xml:space="preserve">    Change in Accrued Expenses</t>
  </si>
  <si>
    <t xml:space="preserve">    Change in Other Current Assets</t>
  </si>
  <si>
    <t xml:space="preserve">    Change in Other Long-Term Assets</t>
  </si>
  <si>
    <t xml:space="preserve">  Total Change in Working Capital</t>
  </si>
  <si>
    <t>Cash from Operations (CFO)</t>
  </si>
  <si>
    <t>INVESTING ACTIVITIES</t>
  </si>
  <si>
    <t xml:space="preserve">    Growth CapEx</t>
  </si>
  <si>
    <t xml:space="preserve">    Maintenance CapEx</t>
  </si>
  <si>
    <t xml:space="preserve">  Total Capital Expenditures</t>
  </si>
  <si>
    <t xml:space="preserve">  Acquisition — Installations Division</t>
  </si>
  <si>
    <t>Cash from Investing (CFI)</t>
  </si>
  <si>
    <t>FINANCING ACTIVITIES</t>
  </si>
  <si>
    <t xml:space="preserve">  Equity Contribution</t>
  </si>
  <si>
    <t xml:space="preserve">  Proceeds from Capital Injection (Debt)</t>
  </si>
  <si>
    <t xml:space="preserve">  Proceeds from New Debt</t>
  </si>
  <si>
    <t xml:space="preserve">  Proceeds from Acquisition Note</t>
  </si>
  <si>
    <t xml:space="preserve">  Revolver Net Draws / (Repayments)</t>
  </si>
  <si>
    <t xml:space="preserve">  Debt Principal Repayment</t>
  </si>
  <si>
    <t xml:space="preserve">  Owner Distributions</t>
  </si>
  <si>
    <t>Cash from Financing (CFF)</t>
  </si>
  <si>
    <t>NET CHANGE IN CASH</t>
  </si>
  <si>
    <t>Beginning Cash Balance</t>
  </si>
  <si>
    <t>Ending Cash Balance</t>
  </si>
  <si>
    <t>Cash Check (vs. Balance Sheet)</t>
  </si>
  <si>
    <t>Apollo Energy Resources — Confidential  |  Cash Flow  |  Mar 2026</t>
  </si>
  <si>
    <t>APOLLO ENERGY RESOURCES — DEBT SCHEDULE &amp; COVENANT TRACKER ($000s)</t>
  </si>
  <si>
    <t>EXISTING DEBT</t>
  </si>
  <si>
    <t>Truck Leases</t>
  </si>
  <si>
    <t xml:space="preserve">  Beginning Balance</t>
  </si>
  <si>
    <t xml:space="preserve">  Monthly Payment</t>
  </si>
  <si>
    <t xml:space="preserve">  Interest Expense</t>
  </si>
  <si>
    <t xml:space="preserve">  Principal Repayment</t>
  </si>
  <si>
    <t xml:space="preserve">  Ending Balance</t>
  </si>
  <si>
    <t>CAPITAL INJECTION DEBT (JAN 2026)</t>
  </si>
  <si>
    <t>Term Debt ($1,500K)</t>
  </si>
  <si>
    <t>Line of Credit / Mezz ($325K)</t>
  </si>
  <si>
    <t xml:space="preserve">  Monthly Payment (Int Only)</t>
  </si>
  <si>
    <t>NEW DEBT (FROM MAY 2026)</t>
  </si>
  <si>
    <t>Revolving Credit Facility (Initial Draw at Close + Cash Sweep)</t>
  </si>
  <si>
    <t xml:space="preserve">  Draws / (Repayments)</t>
  </si>
  <si>
    <t xml:space="preserve">  Commitment Fee</t>
  </si>
  <si>
    <t>Seller Note — Installations Acquisition ($1,400K @ 7%, 5yr)</t>
  </si>
  <si>
    <t>Apollo Acquisition Term Note ($300K @ 9%, 5yr)</t>
  </si>
  <si>
    <t>DEBT SUMMARY</t>
  </si>
  <si>
    <t xml:space="preserve">  Total Debt Outstanding</t>
  </si>
  <si>
    <t xml:space="preserve">  Total Interest Expense</t>
  </si>
  <si>
    <t xml:space="preserve">  Total Principal Repayment</t>
  </si>
  <si>
    <t xml:space="preserve">  Total Debt Service</t>
  </si>
  <si>
    <t>COVENANT COMPLIANCE</t>
  </si>
  <si>
    <t xml:space="preserve">  EBITDA (TTM)</t>
  </si>
  <si>
    <t xml:space="preserve">  Debt / EBITDA</t>
  </si>
  <si>
    <t xml:space="preserve">    Threshold</t>
  </si>
  <si>
    <t xml:space="preserve">    Status</t>
  </si>
  <si>
    <t>HOLIDAY</t>
  </si>
  <si>
    <t xml:space="preserve">  Interest Coverage (EBITDA/Int)</t>
  </si>
  <si>
    <t xml:space="preserve">  Modified FCCR (Maint. CapEx Only)</t>
  </si>
  <si>
    <t xml:space="preserve">  Liquidity ($000s)</t>
  </si>
  <si>
    <t>Apollo Energy Resources — Confidential  |  Debt Schedule  |  Mar 2026</t>
  </si>
  <si>
    <t>CREDIT FACILITY SUMMARY</t>
  </si>
  <si>
    <t>SECTION 1: UNFUNDED BASE CASE — THE FUNDING GAP</t>
  </si>
  <si>
    <t>Cumulative</t>
  </si>
  <si>
    <t>Free Cash Flow (Levered)</t>
  </si>
  <si>
    <t>Funding Gap (Cash &lt; $0)</t>
  </si>
  <si>
    <t>Peak Funding Need</t>
  </si>
  <si>
    <t>Covenants Passing (of 4)</t>
  </si>
  <si>
    <t>Liquidity Covenant</t>
  </si>
  <si>
    <t>APOLLO ENERGY RESOURCES — DCF VALUATION ($000s)</t>
  </si>
  <si>
    <t>Terminal</t>
  </si>
  <si>
    <t>FREE CASH FLOW BUILD</t>
  </si>
  <si>
    <t>EBITDA Margin</t>
  </si>
  <si>
    <t>(-) Taxes on EBIT</t>
  </si>
  <si>
    <t>(-) CAPEX</t>
  </si>
  <si>
    <t>(-) Changes in Working Capital</t>
  </si>
  <si>
    <t>Unlevered Free Cash Flow</t>
  </si>
  <si>
    <t>DISCOUNTED CASH FLOW</t>
  </si>
  <si>
    <t>Discount Period</t>
  </si>
  <si>
    <t>Discount Factor</t>
  </si>
  <si>
    <t>PV of FCF / Terminal Value</t>
  </si>
  <si>
    <t>ENTERPRISE &amp; EQUITY VALUE</t>
  </si>
  <si>
    <t>Sum of PV of FCFs</t>
  </si>
  <si>
    <t>PV of Terminal Value</t>
  </si>
  <si>
    <t>Enterprise Value</t>
  </si>
  <si>
    <t>(-) Total Debt (Current)</t>
  </si>
  <si>
    <t>(+) Cash (Current)</t>
  </si>
  <si>
    <t>% of EV from Terminal Value</t>
  </si>
  <si>
    <t>% of EV from FCFs</t>
  </si>
  <si>
    <t>Implied EV / EBITDA (FY2026)</t>
  </si>
  <si>
    <t>SENSITIVITY ANALYSIS — EQUITY VALUE ($000s)</t>
  </si>
  <si>
    <t>WACC ↓  /  Terminal Growth →</t>
  </si>
  <si>
    <t>APOLLO ENERGY RESOURCES — IRR &amp; MOIC ANALYSIS ($000s)</t>
  </si>
  <si>
    <t>INVESTMENT SUMMARY</t>
  </si>
  <si>
    <t>ANNUAL CASH FLOWS TO EQUITY</t>
  </si>
  <si>
    <t>Year</t>
  </si>
  <si>
    <t>Equity % of Total</t>
  </si>
  <si>
    <t>Total Debt</t>
  </si>
  <si>
    <t>Entry Date</t>
  </si>
  <si>
    <t>Cash</t>
  </si>
  <si>
    <t>Net Debt</t>
  </si>
  <si>
    <t>Distributions Received</t>
  </si>
  <si>
    <t>Cumulative Distributions</t>
  </si>
  <si>
    <t>EXIT ASSUMPTIONS</t>
  </si>
  <si>
    <t>Base Exit Multiple (EV/EBITDA)</t>
  </si>
  <si>
    <t>Implied DCF Multiple (FY2026)</t>
  </si>
  <si>
    <t>Max Distribution (% of NI)</t>
  </si>
  <si>
    <t>EXIT EQUITY VALUE BY YEAR &amp; MULTIPLE ($000s)</t>
  </si>
  <si>
    <t>Exit Year →</t>
  </si>
  <si>
    <t>EBITDA at Exit</t>
  </si>
  <si>
    <t>Net Debt at Exit</t>
  </si>
  <si>
    <t>Holding Period (Years)</t>
  </si>
  <si>
    <t>EXIT EQUITY VALUE BY MULTIPLE &amp; YEAR ($000s)</t>
  </si>
  <si>
    <t>EV/EBITDA ↓  \  Exit Year →</t>
  </si>
  <si>
    <t>MOIC SENSITIVITY — EXIT MULTIPLE × EXIT YEAR</t>
  </si>
  <si>
    <t>IRR SENSITIVITY — EXIT MULTIPLE × EXIT YEAR</t>
  </si>
  <si>
    <t>Exit at FY2026 (1-yr hold)</t>
  </si>
  <si>
    <t>Exit at FY2027E (2-yr hold)</t>
  </si>
  <si>
    <t>Exit at FY2028E (3-yr hold)</t>
  </si>
  <si>
    <t>Exit at FY2029E (4-yr hold)</t>
  </si>
  <si>
    <t>Exit at FY2030E (5-yr hold)</t>
  </si>
  <si>
    <t>WACC × TGR SENSITIVITY — EQUITY VALUE ($000s)</t>
  </si>
  <si>
    <t>WACC ↓  /  TGR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</si>
</sst>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164" formatCode="0.0%"/>
    <numFmt numFmtId="165" formatCode="\$#,##0"/>
    <numFmt numFmtId="166" formatCode="#,##0;\(#,##0\);\-"/>
    <numFmt numFmtId="167" formatCode="0&quot; days&quot;"/>
    <numFmt numFmtId="168" formatCode="\$#,##0;&quot;($&quot;#,##0\);\-"/>
    <numFmt numFmtId="169" formatCode="0.00\x"/>
    <numFmt numFmtId="170" formatCode="\+0.0%;\-0.0%;\—"/>
    <numFmt numFmtId="171" formatCode="0%;\-0%;\—"/>
    <numFmt numFmtId="172" formatCode="0.0000"/>
    <numFmt numFmtId="173" formatCode="0.000"/>
    <numFmt numFmtId="174" formatCode="0.000\x"/>
    <numFmt numFmtId="175" formatCode="\+0.0%;\-0.0%;\-"/>
    <numFmt numFmtId="176" formatCode="0.000%"/>
    <numFmt numFmtId="177" formatCode="0.0%;[Red]\(0.0%\);\-"/>
    <numFmt numFmtId="178" formatCode="#,##0;[Red]\(#,##0\);\-"/>
    <numFmt numFmtId="179" formatCode="0.0\x"/>
    <numFmt numFmtId="180" formatCode="\$#,##0&quot;K&quot;"/>
    <numFmt numFmtId="181" formatCode="0.0&quot;×&quot;"/>
    <numFmt numFmtId="182" formatCode="mm/dd/yyyy"/>
    <numFmt numFmtId="183" formatCode="0&quot; years&quot;"/>
    <numFmt numFmtId="184" formatCode="0&quot; yrs&quot;"/>
    <numFmt numFmtId="185" formatCode="0.0\×"/>
    <numFmt numFmtId="186" formatCode="0.00\×"/>
    <numFmt numFmtId="187" formatCode="\+0.0%;\-0.0%"/>
    <numFmt numFmtId="188" formatCode="&quot;$&quot;#,##0"/>
    <numFmt numFmtId="189" formatCode="&quot;$&quot;#,##0.0"/>
  </numFmts>
  <fonts count="120">
    <font>
      <sz val="12"/>
      <color theme="1"/>
      <name val="Aptos Narrow"/>
      <family val="2"/>
      <charset val="1"/>
    </font>
    <font>
      <b/>
      <sz val="20"/>
      <color rgb="FFFFFFFF"/>
      <name val="Calibri"/>
      <family val="2"/>
      <charset val="1"/>
    </font>
    <font>
      <i/>
      <sz val="11"/>
      <color rgb="FF8FA8C8"/>
      <name val="Calibri"/>
      <family val="2"/>
      <charset val="1"/>
    </font>
    <font>
      <sz val="12"/>
      <color theme="1"/>
      <name val="Calibri"/>
      <family val="2"/>
      <charset val="1"/>
    </font>
    <font>
      <b/>
      <sz val="9"/>
      <color rgb="FF4472C4"/>
      <name val="Calibri"/>
      <family val="2"/>
      <charset val="1"/>
    </font>
    <font>
      <sz val="10"/>
      <color rgb="FF333333"/>
      <name val="Calibri"/>
      <family val="2"/>
      <charset val="1"/>
    </font>
    <font>
      <sz val="9"/>
      <color rgb="FF808080"/>
      <name val="Calibri"/>
      <family val="2"/>
      <charset val="1"/>
    </font>
    <font>
      <b/>
      <sz val="16"/>
      <color rgb="FF1B2A4A"/>
      <name val="Calibri"/>
      <family val="2"/>
      <charset val="1"/>
    </font>
    <font>
      <b/>
      <sz val="16"/>
      <color rgb="FF4472C4"/>
      <name val="Calibri"/>
      <family val="2"/>
      <charset val="1"/>
    </font>
    <font>
      <i/>
      <sz val="8"/>
      <color rgb="FF999999"/>
      <name val="Calibri"/>
      <family val="2"/>
      <charset val="1"/>
    </font>
    <font>
      <b/>
      <sz val="14"/>
      <color rgb="FF1B2A4A"/>
      <name val="Calibri"/>
      <family val="2"/>
      <charset val="1"/>
    </font>
    <font>
      <b/>
      <sz val="14"/>
      <color rgb="FFC00000"/>
      <name val="Calibri"/>
      <family val="2"/>
      <charset val="1"/>
    </font>
    <font>
      <b/>
      <sz val="14"/>
      <color rgb="FF008000"/>
      <name val="Calibri"/>
      <family val="2"/>
      <charset val="1"/>
    </font>
    <font>
      <b/>
      <sz val="9"/>
      <color rgb="FF1B2A4A"/>
      <name val="Calibri"/>
      <family val="2"/>
      <charset val="1"/>
    </font>
    <font>
      <sz val="9"/>
      <color rgb="FF333333"/>
      <name val="Calibri"/>
      <family val="2"/>
      <charset val="1"/>
    </font>
    <font>
      <sz val="12"/>
      <color rgb="FF1B2A4A"/>
      <name val="Calibri"/>
      <family val="2"/>
      <charset val="1"/>
    </font>
    <font>
      <sz val="12"/>
      <color rgb="FF808080"/>
      <name val="Calibri"/>
      <family val="2"/>
      <charset val="1"/>
    </font>
    <font>
      <sz val="12"/>
      <color rgb="FF70AD47"/>
      <name val="Calibri"/>
      <family val="2"/>
      <charset val="1"/>
    </font>
    <font>
      <sz val="12"/>
      <color rgb="FFC00000"/>
      <name val="Calibri"/>
      <family val="2"/>
      <charset val="1"/>
    </font>
    <font>
      <sz val="12"/>
      <color rgb="FFED7D31"/>
      <name val="Calibri"/>
      <family val="2"/>
      <charset val="1"/>
    </font>
    <font>
      <sz val="12"/>
      <color rgb="FF7030A0"/>
      <name val="Calibri"/>
      <family val="2"/>
      <charset val="1"/>
    </font>
    <font>
      <sz val="9"/>
      <color rgb="FF666666"/>
      <name val="Calibri"/>
      <family val="2"/>
      <charset val="1"/>
    </font>
    <font>
      <b/>
      <sz val="9"/>
      <color rgb="FF0000FF"/>
      <name val="Calibri"/>
      <family val="2"/>
      <charset val="1"/>
    </font>
    <font>
      <b/>
      <sz val="9"/>
      <color rgb="FF000000"/>
      <name val="Calibri"/>
      <family val="2"/>
      <charset val="1"/>
    </font>
    <font>
      <b/>
      <sz val="9"/>
      <color rgb="FF008000"/>
      <name val="Calibri"/>
      <family val="2"/>
      <charset val="1"/>
    </font>
    <font>
      <sz val="14"/>
      <color rgb="FF1B2A4A"/>
      <name val="Calibri"/>
      <family val="2"/>
      <charset val="1"/>
    </font>
    <font>
      <i/>
      <sz val="9"/>
      <color rgb="FF999999"/>
      <name val="Calibri"/>
      <family val="2"/>
      <charset val="1"/>
    </font>
    <font>
      <sz val="14"/>
      <color rgb="FF808080"/>
      <name val="Calibri"/>
      <family val="2"/>
      <charset val="1"/>
    </font>
    <font>
      <sz val="14"/>
      <color rgb="FF70AD47"/>
      <name val="Calibri"/>
      <family val="2"/>
      <charset val="1"/>
    </font>
    <font>
      <sz val="14"/>
      <color rgb="FFC00000"/>
      <name val="Calibri"/>
      <family val="2"/>
      <charset val="1"/>
    </font>
    <font>
      <sz val="14"/>
      <color rgb="FFED7D31"/>
      <name val="Calibri"/>
      <family val="2"/>
      <charset val="1"/>
    </font>
    <font>
      <sz val="14"/>
      <color rgb="FF7030A0"/>
      <name val="Calibri"/>
      <family val="2"/>
      <charset val="1"/>
    </font>
    <font>
      <b/>
      <sz val="12"/>
      <color rgb="FFFFFFFF"/>
      <name val="Calibri"/>
      <family val="2"/>
      <charset val="1"/>
    </font>
    <font>
      <b/>
      <sz val="10"/>
      <color rgb="FFFFFFFF"/>
      <name val="Calibri"/>
      <family val="2"/>
      <charset val="1"/>
    </font>
    <font>
      <sz val="9"/>
      <color rgb="FF0000FF"/>
      <name val="Calibri"/>
      <family val="2"/>
      <charset val="1"/>
    </font>
    <font>
      <sz val="10"/>
      <color theme="1"/>
      <name val="Calibri"/>
      <family val="2"/>
      <charset val="1"/>
    </font>
    <font>
      <i/>
      <sz val="9"/>
      <color rgb="FF44546A"/>
      <name val="Calibri"/>
      <family val="2"/>
      <charset val="1"/>
    </font>
    <font>
      <sz val="9"/>
      <color rgb="FF000000"/>
      <name val="Calibri"/>
      <family val="2"/>
      <charset val="1"/>
    </font>
    <font>
      <i/>
      <sz val="8"/>
      <color rgb="FF666666"/>
      <name val="Calibri"/>
      <family val="2"/>
      <charset val="1"/>
    </font>
    <font>
      <i/>
      <sz val="9"/>
      <color rgb="FF000000"/>
      <name val="Calibri"/>
      <family val="2"/>
      <charset val="1"/>
    </font>
    <font>
      <b/>
      <i/>
      <sz val="9"/>
      <color rgb="FF1B2A4A"/>
      <name val="Calibri"/>
      <family val="2"/>
      <charset val="1"/>
    </font>
    <font>
      <i/>
      <sz val="9"/>
      <color rgb="FF333333"/>
      <name val="Calibri"/>
      <family val="2"/>
      <charset val="1"/>
    </font>
    <font>
      <b/>
      <i/>
      <sz val="9"/>
      <color rgb="FF000000"/>
      <name val="Calibri"/>
      <family val="2"/>
      <charset val="1"/>
    </font>
    <font>
      <b/>
      <sz val="10"/>
      <color rgb="FF1B2A4A"/>
      <name val="Calibri"/>
      <family val="2"/>
      <charset val="1"/>
    </font>
    <font>
      <sz val="9"/>
      <color rgb="FF999999"/>
      <name val="Calibri"/>
      <family val="2"/>
      <charset val="1"/>
    </font>
    <font>
      <b/>
      <i/>
      <sz val="10"/>
      <color rgb="FF1B2A4A"/>
      <name val="Calibri"/>
      <family val="2"/>
      <charset val="1"/>
    </font>
    <font>
      <b/>
      <sz val="11"/>
      <color rgb="FFFFFFFF"/>
      <name val="Calibri"/>
      <family val="2"/>
      <charset val="1"/>
    </font>
    <font>
      <sz val="9"/>
      <color theme="1"/>
      <name val="Calibri"/>
      <family val="2"/>
      <charset val="1"/>
    </font>
    <font>
      <sz val="8"/>
      <color rgb="FF999999"/>
      <name val="Calibri"/>
      <family val="2"/>
      <charset val="1"/>
    </font>
    <font>
      <b/>
      <sz val="8"/>
      <color rgb="FF000000"/>
      <name val="Calibri"/>
      <family val="2"/>
      <charset val="1"/>
    </font>
    <font>
      <b/>
      <sz val="9"/>
      <color rgb="FF333333"/>
      <name val="Calibri"/>
      <family val="2"/>
      <charset val="1"/>
    </font>
    <font>
      <b/>
      <sz val="8"/>
      <color rgb="FF999999"/>
      <name val="Calibri"/>
      <family val="2"/>
      <charset val="1"/>
    </font>
    <font>
      <b/>
      <sz val="9"/>
      <color rgb="FF808080"/>
      <name val="Calibri"/>
      <family val="2"/>
      <charset val="1"/>
    </font>
    <font>
      <b/>
      <sz val="9"/>
      <color rgb="FFFFFFFF"/>
      <name val="Calibri"/>
      <family val="2"/>
      <charset val="1"/>
    </font>
    <font>
      <i/>
      <sz val="9"/>
      <color rgb="FF0000FF"/>
      <name val="Calibri"/>
      <family val="2"/>
      <charset val="1"/>
    </font>
    <font>
      <sz val="8"/>
      <color rgb="FF808080"/>
      <name val="Calibri"/>
      <family val="2"/>
      <charset val="1"/>
    </font>
    <font>
      <sz val="12"/>
      <color rgb="FFFFFFFF"/>
      <name val="Calibri"/>
      <family val="2"/>
      <charset val="1"/>
    </font>
    <font>
      <b/>
      <sz val="8"/>
      <color rgb="FFFFFFFF"/>
      <name val="Calibri"/>
      <family val="2"/>
      <charset val="1"/>
    </font>
    <font>
      <b/>
      <sz val="8"/>
      <color rgb="FFFF0000"/>
      <name val="Calibri"/>
      <family val="2"/>
      <charset val="1"/>
    </font>
    <font>
      <b/>
      <i/>
      <sz val="9"/>
      <color theme="0"/>
      <name val="Calibri"/>
      <family val="2"/>
      <charset val="1"/>
    </font>
    <font>
      <sz val="12"/>
      <color theme="0"/>
      <name val="Calibri"/>
      <family val="2"/>
      <charset val="1"/>
    </font>
    <font>
      <b/>
      <sz val="8"/>
      <color theme="0"/>
      <name val="Calibri"/>
      <family val="2"/>
      <charset val="1"/>
    </font>
    <font>
      <sz val="9"/>
      <color rgb="FF808080"/>
      <name val="Aptos Narrow"/>
      <family val="2"/>
      <charset val="1"/>
    </font>
    <font>
      <sz val="8"/>
      <color rgb="FFFF0000"/>
      <name val="Calibri"/>
      <family val="2"/>
      <charset val="1"/>
    </font>
    <font>
      <b/>
      <sz val="11"/>
      <color rgb="FF0000FF"/>
      <name val="Calibri"/>
      <family val="2"/>
      <charset val="1"/>
    </font>
    <font>
      <b/>
      <sz val="9"/>
      <color theme="0"/>
      <name val="Calibri"/>
      <family val="2"/>
      <charset val="1"/>
    </font>
    <font>
      <sz val="8"/>
      <color rgb="FF808080"/>
      <name val="Aptos Narrow"/>
      <family val="2"/>
      <charset val="1"/>
    </font>
    <font>
      <sz val="9"/>
      <color rgb="FF008000"/>
      <name val="Calibri"/>
      <family val="2"/>
      <charset val="1"/>
    </font>
    <font>
      <i/>
      <sz val="8"/>
      <color rgb="FF808080"/>
      <name val="Calibri"/>
      <family val="2"/>
      <charset val="1"/>
    </font>
    <font>
      <b/>
      <sz val="18"/>
      <color rgb="FF1B2A4A"/>
      <name val="Aptos Narrow"/>
    </font>
    <font>
      <i/>
      <sz val="11"/>
      <color rgb="FF6B7B8D"/>
      <name val="Aptos Narrow"/>
    </font>
    <font>
      <b/>
      <sz val="10"/>
      <color rgb="FFFFFFFF"/>
      <name val="Aptos Narrow"/>
    </font>
    <font>
      <b/>
      <sz val="11"/>
      <color rgb="FF1B2A4A"/>
      <name val="Aptos Narrow"/>
    </font>
    <font>
      <b/>
      <sz val="13"/>
      <color rgb="FF0000FF"/>
      <name val="Aptos Narrow"/>
    </font>
    <font>
      <i/>
      <sz val="9"/>
      <color rgb="FFAAAAAA"/>
      <name val="Aptos Narrow"/>
    </font>
    <font>
      <b/>
      <sz val="10"/>
      <color rgb="FF1B2A4A"/>
      <name val="Aptos Narrow"/>
    </font>
    <font>
      <b/>
      <sz val="9"/>
      <color rgb="FFC62828"/>
      <name val="Aptos Narrow"/>
    </font>
    <font>
      <b/>
      <sz val="9"/>
      <color rgb="FFE65100"/>
      <name val="Aptos Narrow"/>
    </font>
    <font>
      <b/>
      <sz val="9"/>
      <color rgb="FF1B2A4A"/>
      <name val="Aptos Narrow"/>
    </font>
    <font>
      <b/>
      <sz val="9"/>
      <color rgb="FF2E7D32"/>
      <name val="Aptos Narrow"/>
    </font>
    <font>
      <b/>
      <sz val="9"/>
      <color rgb="FF1B5E20"/>
      <name val="Aptos Narrow"/>
    </font>
    <font>
      <sz val="10"/>
      <color rgb="FF333333"/>
      <name val="Aptos Narrow"/>
    </font>
    <font>
      <sz val="9"/>
      <color rgb="FF555555"/>
      <name val="Aptos Narrow"/>
    </font>
    <font>
      <b/>
      <sz val="10"/>
      <color rgb="FF333333"/>
      <name val="Aptos Narrow"/>
    </font>
    <font>
      <b/>
      <sz val="10"/>
      <color theme="1"/>
      <name val="Aptos Narrow"/>
    </font>
    <font>
      <b/>
      <sz val="12"/>
      <color rgb="FF1B2A4A"/>
      <name val="Aptos Narrow"/>
    </font>
    <font>
      <b/>
      <sz val="14"/>
      <color rgb="FF1B2A4A"/>
      <name val="Aptos Narrow"/>
    </font>
    <font>
      <i/>
      <sz val="9"/>
      <color rgb="FF666666"/>
      <name val="Calibri"/>
      <family val="2"/>
      <charset val="1"/>
    </font>
    <font>
      <b/>
      <i/>
      <sz val="9"/>
      <color rgb="FF666666"/>
      <name val="Calibri"/>
      <family val="2"/>
      <charset val="1"/>
    </font>
    <font>
      <sz val="9"/>
      <color rgb="FFFF0000"/>
      <name val="Calibri"/>
      <family val="2"/>
      <charset val="1"/>
    </font>
    <font>
      <b/>
      <u/>
      <sz val="9"/>
      <color rgb="FF000000"/>
      <name val="Calibri"/>
      <family val="2"/>
      <charset val="1"/>
    </font>
    <font>
      <sz val="9"/>
      <color rgb="FF000000"/>
      <name val="Arial"/>
      <family val="2"/>
      <charset val="1"/>
    </font>
    <font>
      <sz val="9"/>
      <color rgb="FF1B2A4A"/>
      <name val="Calibri"/>
      <family val="2"/>
      <charset val="1"/>
    </font>
    <font>
      <sz val="9"/>
      <color rgb="FFFFFFFF"/>
      <name val="Calibri"/>
      <family val="2"/>
      <charset val="1"/>
    </font>
    <font>
      <b/>
      <i/>
      <sz val="8"/>
      <color rgb="FF999999"/>
      <name val="Calibri"/>
      <family val="2"/>
      <charset val="1"/>
    </font>
    <font>
      <b/>
      <sz val="9"/>
      <color theme="1"/>
      <name val="Calibri"/>
      <family val="2"/>
      <charset val="1"/>
    </font>
    <font>
      <i/>
      <sz val="9"/>
      <color rgb="FF808080"/>
      <name val="Calibri"/>
      <family val="2"/>
      <charset val="1"/>
    </font>
    <font>
      <b/>
      <sz val="9"/>
      <color rgb="FFCC0000"/>
      <name val="Calibri"/>
      <family val="2"/>
      <charset val="1"/>
    </font>
    <font>
      <b/>
      <sz val="12"/>
      <color theme="1"/>
      <name val="Calibri"/>
      <family val="2"/>
      <charset val="1"/>
    </font>
    <font>
      <b/>
      <sz val="9"/>
      <color rgb="FF006600"/>
      <name val="Calibri"/>
      <family val="2"/>
      <charset val="1"/>
    </font>
    <font>
      <b/>
      <sz val="10"/>
      <color theme="1"/>
      <name val="Calibri"/>
      <family val="2"/>
      <charset val="1"/>
    </font>
    <font>
      <i/>
      <sz val="9"/>
      <color theme="2" tint="-0.749992370372631"/>
      <name val="Calibri"/>
      <family val="2"/>
      <charset val="1"/>
    </font>
    <font>
      <b/>
      <sz val="11"/>
      <name val="Aptos Narrow"/>
    </font>
    <font>
      <b/>
      <sz val="12"/>
      <name val="Aptos Narrow"/>
    </font>
    <font>
      <sz val="12"/>
      <color rgb="FF0000FF"/>
      <name val="Aptos Narrow"/>
    </font>
    <font>
      <sz val="9"/>
      <color theme="1"/>
      <name val="Calibri"/>
      <family val="2"/>
    </font>
    <font>
      <sz val="9"/>
      <color rgb="FF0000FF"/>
      <name val="Calibri"/>
      <family val="2"/>
    </font>
    <font>
      <b/>
      <sz val="9"/>
      <color rgb="FF0000FF"/>
      <name val="Calibri"/>
      <family val="2"/>
    </font>
    <font>
      <i/>
      <sz val="8"/>
      <color rgb="FF999999"/>
      <name val="Calibri"/>
      <family val="2"/>
    </font>
    <font>
      <b/>
      <sz val="12"/>
      <color rgb="FFFFFFFF"/>
      <name val="Calibri"/>
      <family val="2"/>
    </font>
    <font>
      <b/>
      <sz val="9"/>
      <color rgb="FFFFFFFF"/>
      <name val="Calibri"/>
      <family val="2"/>
    </font>
    <font>
      <b/>
      <sz val="10"/>
      <color rgb="FF000000"/>
      <name val="Tahoma"/>
      <family val="2"/>
    </font>
    <font>
      <i/>
      <sz val="7"/>
      <color rgb="FF999999"/>
      <name val="Calibri"/>
      <family val="2"/>
      <charset val="1"/>
    </font>
    <font>
      <sz val="9"/>
      <color rgb="FF333333"/>
      <name val="Calibri"/>
      <family val="2"/>
    </font>
    <font>
      <sz val="9"/>
      <color rgb="FF000000"/>
      <name val="Calibri"/>
      <family val="2"/>
    </font>
    <font>
      <b/>
      <sz val="9"/>
      <color theme="1"/>
      <name val="Calibri"/>
      <family val="2"/>
    </font>
    <font>
      <sz val="12"/>
      <color theme="1"/>
      <name val="Aptos Narrow"/>
    </font>
    <font>
      <b/>
      <sz val="10"/>
      <color rgb="FFFFFFFF"/>
      <name val="Calibri"/>
      <family val="2"/>
    </font>
    <font>
      <b/>
      <sz val="9"/>
      <color rgb="FF1B2A4A"/>
      <name val="Calibri"/>
      <family val="2"/>
    </font>
    <font>
      <sz val="12"/>
      <color rgb="FF000000"/>
      <name val="Aptos Narrow"/>
      <family val="2"/>
      <charset val="1"/>
    </font>
  </fonts>
  <fills count="31">
    <fill>
      <patternFill patternType="none"/>
    </fill>
    <fill>
      <patternFill patternType="gray125"/>
    </fill>
    <fill>
      <patternFill patternType="solid">
        <fgColor rgb="FF4472C4"/>
        <bgColor rgb="FF606273"/>
      </patternFill>
    </fill>
    <fill>
      <patternFill patternType="solid">
        <fgColor rgb="FFFFFFFF"/>
        <bgColor rgb="FFFFFFF0"/>
      </patternFill>
    </fill>
    <fill>
      <patternFill patternType="solid">
        <fgColor rgb="FF1B2A4A"/>
        <bgColor rgb="FF252547"/>
      </patternFill>
    </fill>
    <fill>
      <patternFill patternType="solid">
        <fgColor rgb="FFF5F7FA"/>
        <bgColor rgb="FFFAFAFA"/>
      </patternFill>
    </fill>
    <fill>
      <patternFill patternType="solid">
        <fgColor rgb="FFFFFF00"/>
        <bgColor rgb="FFFDD530"/>
      </patternFill>
    </fill>
    <fill>
      <patternFill patternType="solid">
        <fgColor rgb="FFFFF3CE"/>
        <bgColor rgb="FFFFFBE6"/>
      </patternFill>
    </fill>
    <fill>
      <patternFill patternType="solid">
        <fgColor rgb="FFE9EDF4"/>
        <bgColor rgb="FFE8EDF3"/>
      </patternFill>
    </fill>
    <fill>
      <patternFill patternType="solid">
        <fgColor rgb="FFD6E4F0"/>
        <bgColor rgb="FFD6DCE4"/>
      </patternFill>
    </fill>
    <fill>
      <patternFill patternType="solid">
        <fgColor theme="3"/>
        <bgColor rgb="FF1B2A4A"/>
      </patternFill>
    </fill>
    <fill>
      <patternFill patternType="solid">
        <fgColor rgb="FFD3AE3B"/>
        <bgColor rgb="FFFDD530"/>
      </patternFill>
    </fill>
    <fill>
      <patternFill patternType="solid">
        <fgColor rgb="FFF2F2F2"/>
        <bgColor rgb="FFF5F7FA"/>
      </patternFill>
    </fill>
    <fill>
      <patternFill patternType="solid">
        <fgColor rgb="FFFFFFF0"/>
        <bgColor rgb="FFFFFBE6"/>
      </patternFill>
    </fill>
    <fill>
      <patternFill patternType="solid">
        <fgColor rgb="FFE8EDF3"/>
        <bgColor rgb="FFE9EDF4"/>
      </patternFill>
    </fill>
    <fill>
      <patternFill patternType="solid">
        <fgColor rgb="FFFFFBE6"/>
        <bgColor rgb="FFFFFFF0"/>
      </patternFill>
    </fill>
    <fill>
      <patternFill patternType="mediumGray">
        <fgColor rgb="FFFCE5ED"/>
        <bgColor rgb="FFFFF2F2"/>
      </patternFill>
    </fill>
    <fill>
      <patternFill patternType="mediumGray">
        <fgColor rgb="FFFFFBE6"/>
        <bgColor rgb="FFFFF2F2"/>
      </patternFill>
    </fill>
    <fill>
      <patternFill patternType="solid">
        <fgColor rgb="FFE8F5E9"/>
        <bgColor rgb="FFF2F2F2"/>
      </patternFill>
    </fill>
    <fill>
      <patternFill patternType="darkGray">
        <fgColor rgb="FFD6DCE4"/>
        <bgColor rgb="FFD9D9D9"/>
      </patternFill>
    </fill>
    <fill>
      <patternFill patternType="solid">
        <fgColor rgb="FFFAFAFA"/>
        <bgColor rgb="FFF5F7FA"/>
      </patternFill>
    </fill>
    <fill>
      <patternFill patternType="solid">
        <fgColor rgb="FFE1EFDA"/>
        <bgColor rgb="FFE2EFDA"/>
      </patternFill>
    </fill>
    <fill>
      <patternFill patternType="solid">
        <fgColor rgb="FFFCE5ED"/>
        <bgColor rgb="FFECECEC"/>
      </patternFill>
    </fill>
    <fill>
      <patternFill patternType="solid">
        <fgColor rgb="FFE9EDF4"/>
        <bgColor indexed="64"/>
      </patternFill>
    </fill>
    <fill>
      <patternFill patternType="solid">
        <fgColor rgb="FFFFFF00"/>
        <bgColor indexed="64"/>
      </patternFill>
    </fill>
    <fill>
      <patternFill patternType="solid">
        <fgColor rgb="FFFFFFFF"/>
        <bgColor indexed="64"/>
      </patternFill>
    </fill>
    <fill>
      <patternFill patternType="solid">
        <fgColor rgb="FFF2F2F2"/>
        <bgColor indexed="64"/>
      </patternFill>
    </fill>
    <fill>
      <patternFill patternType="solid">
        <fgColor rgb="FF1B2A4A"/>
        <bgColor indexed="64"/>
      </patternFill>
    </fill>
    <fill>
      <patternFill patternType="solid">
        <fgColor rgb="FFFAFAFA"/>
        <bgColor indexed="64"/>
      </patternFill>
    </fill>
    <fill>
      <patternFill patternType="solid">
        <fgColor rgb="FFFFFBE6"/>
        <bgColor indexed="64"/>
      </patternFill>
    </fill>
    <fill>
      <patternFill patternType="solid">
        <fgColor rgb="FFD6E4F0"/>
        <bgColor indexed="64"/>
      </patternFill>
    </fill>
  </fills>
  <borders count="52">
    <border>
      <left/>
      <right/>
      <top/>
      <bottom/>
      <diagonal/>
    </border>
    <border>
      <left/>
      <right/>
      <top/>
      <bottom style="medium">
        <color rgb="FFD3AE3B"/>
      </bottom>
      <diagonal/>
    </border>
    <border>
      <left/>
      <right/>
      <top/>
      <bottom style="medium">
        <color rgb="FF4472C4"/>
      </bottom>
      <diagonal/>
    </border>
    <border>
      <left/>
      <right/>
      <top/>
      <bottom style="thin">
        <color rgb="FFD9D9D9"/>
      </bottom>
      <diagonal/>
    </border>
    <border>
      <left/>
      <right/>
      <top/>
      <bottom style="thin">
        <color rgb="FF1B2A4A"/>
      </bottom>
      <diagonal/>
    </border>
    <border>
      <left/>
      <right/>
      <top style="thin">
        <color rgb="FFECECEC"/>
      </top>
      <bottom/>
      <diagonal/>
    </border>
    <border>
      <left/>
      <right/>
      <top style="thin">
        <color rgb="FFECECEC"/>
      </top>
      <bottom style="thin">
        <color rgb="FFECECEC"/>
      </bottom>
      <diagonal/>
    </border>
    <border>
      <left/>
      <right/>
      <top/>
      <bottom style="medium">
        <color rgb="FF1B2A4A"/>
      </bottom>
      <diagonal/>
    </border>
    <border>
      <left/>
      <right/>
      <top style="thin">
        <color auto="1"/>
      </top>
      <bottom style="thin">
        <color auto="1"/>
      </bottom>
      <diagonal/>
    </border>
    <border>
      <left style="thin">
        <color rgb="FFCBCCCC"/>
      </left>
      <right/>
      <top style="thin">
        <color rgb="FFCBCCCC"/>
      </top>
      <bottom/>
      <diagonal/>
    </border>
    <border>
      <left style="medium">
        <color rgb="FFD3AE3B"/>
      </left>
      <right style="medium">
        <color rgb="FFD3AE3B"/>
      </right>
      <top style="medium">
        <color rgb="FFD3AE3B"/>
      </top>
      <bottom/>
      <diagonal/>
    </border>
    <border>
      <left style="thin">
        <color rgb="FFCBCCCC"/>
      </left>
      <right/>
      <top style="thin">
        <color rgb="FFCBCCCC"/>
      </top>
      <bottom style="thin">
        <color rgb="FFCBCCCC"/>
      </bottom>
      <diagonal/>
    </border>
    <border>
      <left style="medium">
        <color rgb="FFD3AE3B"/>
      </left>
      <right style="medium">
        <color rgb="FFD3AE3B"/>
      </right>
      <top style="medium">
        <color rgb="FFD3AE3B"/>
      </top>
      <bottom style="medium">
        <color rgb="FFD3AE3B"/>
      </bottom>
      <diagonal/>
    </border>
    <border>
      <left/>
      <right/>
      <top style="medium">
        <color rgb="FF1B2A4A"/>
      </top>
      <bottom/>
      <diagonal/>
    </border>
    <border>
      <left style="medium">
        <color rgb="FFD3AE3B"/>
      </left>
      <right style="medium">
        <color rgb="FFD3AE3B"/>
      </right>
      <top style="medium">
        <color rgb="FF1B2A4A"/>
      </top>
      <bottom style="thin">
        <color rgb="FFCBCCCC"/>
      </bottom>
      <diagonal/>
    </border>
    <border>
      <left/>
      <right/>
      <top style="medium">
        <color rgb="FF1B2A4A"/>
      </top>
      <bottom style="thin">
        <color rgb="FFCBCCCC"/>
      </bottom>
      <diagonal/>
    </border>
    <border>
      <left/>
      <right/>
      <top style="thin">
        <color rgb="FFCBCCCC"/>
      </top>
      <bottom/>
      <diagonal/>
    </border>
    <border>
      <left style="medium">
        <color rgb="FFD3AE3B"/>
      </left>
      <right style="medium">
        <color rgb="FFD3AE3B"/>
      </right>
      <top/>
      <bottom/>
      <diagonal/>
    </border>
    <border>
      <left/>
      <right/>
      <top style="thin">
        <color rgb="FFECECEC"/>
      </top>
      <bottom style="medium">
        <color rgb="FF1B2A4A"/>
      </bottom>
      <diagonal/>
    </border>
    <border>
      <left style="medium">
        <color rgb="FFD3AE3B"/>
      </left>
      <right style="medium">
        <color rgb="FFD3AE3B"/>
      </right>
      <top/>
      <bottom style="medium">
        <color rgb="FF1B2A4A"/>
      </bottom>
      <diagonal/>
    </border>
    <border>
      <left style="medium">
        <color rgb="FFD3AE3B"/>
      </left>
      <right style="medium">
        <color rgb="FFD3AE3B"/>
      </right>
      <top style="medium">
        <color rgb="FF1B2A4A"/>
      </top>
      <bottom/>
      <diagonal/>
    </border>
    <border>
      <left style="medium">
        <color rgb="FFD3AE3B"/>
      </left>
      <right style="medium">
        <color rgb="FFD3AE3B"/>
      </right>
      <top style="thin">
        <color rgb="FFCBCCCC"/>
      </top>
      <bottom/>
      <diagonal/>
    </border>
    <border>
      <left style="medium">
        <color rgb="FFD3AE3B"/>
      </left>
      <right style="medium">
        <color rgb="FFD3AE3B"/>
      </right>
      <top style="thin">
        <color rgb="FFECECEC"/>
      </top>
      <bottom/>
      <diagonal/>
    </border>
    <border>
      <left style="medium">
        <color rgb="FFD3AE3B"/>
      </left>
      <right style="medium">
        <color rgb="FFD3AE3B"/>
      </right>
      <top style="thin">
        <color rgb="FFECECEC"/>
      </top>
      <bottom style="thin">
        <color rgb="FFECECEC"/>
      </bottom>
      <diagonal/>
    </border>
    <border>
      <left/>
      <right/>
      <top style="medium">
        <color rgb="FF1B2A4A"/>
      </top>
      <bottom style="double">
        <color rgb="FF1B2A4A"/>
      </bottom>
      <diagonal/>
    </border>
    <border>
      <left style="medium">
        <color rgb="FFD3AE3B"/>
      </left>
      <right style="medium">
        <color rgb="FFD3AE3B"/>
      </right>
      <top style="medium">
        <color rgb="FF1B2A4A"/>
      </top>
      <bottom style="double">
        <color rgb="FF1B2A4A"/>
      </bottom>
      <diagonal/>
    </border>
    <border>
      <left/>
      <right/>
      <top/>
      <bottom style="thin">
        <color auto="1"/>
      </bottom>
      <diagonal/>
    </border>
    <border>
      <left/>
      <right/>
      <top style="thin">
        <color auto="1"/>
      </top>
      <bottom/>
      <diagonal/>
    </border>
    <border>
      <left/>
      <right/>
      <top style="thin">
        <color auto="1"/>
      </top>
      <bottom style="double">
        <color auto="1"/>
      </bottom>
      <diagonal/>
    </border>
    <border>
      <left/>
      <right/>
      <top style="thin">
        <color auto="1"/>
      </top>
      <bottom style="medium">
        <color auto="1"/>
      </bottom>
      <diagonal/>
    </border>
    <border>
      <left/>
      <right/>
      <top style="medium">
        <color auto="1"/>
      </top>
      <bottom/>
      <diagonal/>
    </border>
    <border>
      <left style="thin">
        <color auto="1"/>
      </left>
      <right style="thin">
        <color rgb="FFD9D9D9"/>
      </right>
      <top style="thin">
        <color auto="1"/>
      </top>
      <bottom style="thin">
        <color rgb="FFD9D9D9"/>
      </bottom>
      <diagonal/>
    </border>
    <border>
      <left style="thin">
        <color rgb="FFD9D9D9"/>
      </left>
      <right style="thin">
        <color rgb="FFD9D9D9"/>
      </right>
      <top style="thin">
        <color auto="1"/>
      </top>
      <bottom style="thin">
        <color rgb="FFD9D9D9"/>
      </bottom>
      <diagonal/>
    </border>
    <border>
      <left style="thin">
        <color rgb="FFD9D9D9"/>
      </left>
      <right style="thin">
        <color auto="1"/>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D9D9D9"/>
      </left>
      <right style="thin">
        <color auto="1"/>
      </right>
      <top style="thin">
        <color rgb="FFD9D9D9"/>
      </top>
      <bottom style="thin">
        <color auto="1"/>
      </bottom>
      <diagonal/>
    </border>
    <border>
      <left/>
      <right/>
      <top/>
      <bottom style="medium">
        <color auto="1"/>
      </bottom>
      <diagonal/>
    </border>
    <border>
      <left style="thick">
        <color rgb="FF1B2A4A"/>
      </left>
      <right/>
      <top/>
      <bottom/>
      <diagonal/>
    </border>
    <border>
      <left style="thick">
        <color rgb="FF1B2A4A"/>
      </left>
      <right/>
      <top/>
      <bottom style="medium">
        <color rgb="FFD3AE3B"/>
      </bottom>
      <diagonal/>
    </border>
    <border>
      <left style="thick">
        <color rgb="FF1B2A4A"/>
      </left>
      <right/>
      <top/>
      <bottom style="thin">
        <color auto="1"/>
      </bottom>
      <diagonal/>
    </border>
    <border>
      <left style="thick">
        <color rgb="FF1B2A4A"/>
      </left>
      <right/>
      <top style="thin">
        <color auto="1"/>
      </top>
      <bottom style="medium">
        <color auto="1"/>
      </bottom>
      <diagonal/>
    </border>
    <border>
      <left style="thick">
        <color rgb="FF1B2A4A"/>
      </left>
      <right/>
      <top style="thin">
        <color auto="1"/>
      </top>
      <bottom/>
      <diagonal/>
    </border>
    <border>
      <left style="thick">
        <color rgb="FF1B2A4A"/>
      </left>
      <right/>
      <top style="thin">
        <color auto="1"/>
      </top>
      <bottom style="thin">
        <color auto="1"/>
      </bottom>
      <diagonal/>
    </border>
    <border>
      <left style="thick">
        <color rgb="FF1B2A4A"/>
      </left>
      <right/>
      <top style="thin">
        <color auto="1"/>
      </top>
      <bottom style="double">
        <color auto="1"/>
      </bottom>
      <diagonal/>
    </border>
    <border>
      <left style="thick">
        <color rgb="FF1B2A4A"/>
      </left>
      <right/>
      <top style="medium">
        <color auto="1"/>
      </top>
      <bottom/>
      <diagonal/>
    </border>
    <border>
      <left style="thick">
        <color rgb="FF1B2A4A"/>
      </left>
      <right/>
      <top/>
      <bottom style="medium">
        <color auto="1"/>
      </bottom>
      <diagonal/>
    </border>
    <border>
      <left style="medium">
        <color rgb="FFD3AE3B"/>
      </left>
      <right/>
      <top/>
      <bottom/>
      <diagonal/>
    </border>
    <border>
      <left/>
      <right/>
      <top style="thin">
        <color rgb="FFCBCCCC"/>
      </top>
      <bottom style="thin">
        <color rgb="FFECECEC"/>
      </bottom>
      <diagonal/>
    </border>
  </borders>
  <cellStyleXfs count="1">
    <xf numFmtId="0" fontId="0" fillId="0" borderId="0"/>
  </cellStyleXfs>
  <cellXfs count="553">
    <xf numFmtId="0" fontId="0" fillId="0" borderId="0" xfId="0"/>
    <xf numFmtId="0" fontId="32" fillId="4" borderId="1" xfId="0" applyFont="1" applyFill="1" applyBorder="1"/>
    <xf numFmtId="0" fontId="0" fillId="3" borderId="0" xfId="0" applyFill="1"/>
    <xf numFmtId="0" fontId="1" fillId="4" borderId="0" xfId="0" applyFont="1" applyFill="1"/>
    <xf numFmtId="0" fontId="0" fillId="4" borderId="0" xfId="0" applyFill="1"/>
    <xf numFmtId="0" fontId="2" fillId="4" borderId="1" xfId="0" applyFont="1" applyFill="1" applyBorder="1" applyAlignment="1">
      <alignment vertical="top"/>
    </xf>
    <xf numFmtId="0" fontId="0" fillId="4" borderId="1" xfId="0" applyFill="1" applyBorder="1"/>
    <xf numFmtId="0" fontId="3" fillId="3" borderId="0" xfId="0" applyFont="1" applyFill="1"/>
    <xf numFmtId="0" fontId="3" fillId="0" borderId="0" xfId="0" applyFont="1"/>
    <xf numFmtId="0" fontId="3" fillId="0" borderId="2" xfId="0" applyFont="1" applyBorder="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9" fillId="3" borderId="0" xfId="0" applyFont="1" applyFill="1"/>
    <xf numFmtId="0" fontId="5" fillId="0" borderId="3" xfId="0" applyFont="1" applyBorder="1"/>
    <xf numFmtId="0" fontId="13" fillId="3" borderId="4" xfId="0" applyFont="1" applyFill="1" applyBorder="1"/>
    <xf numFmtId="0" fontId="13" fillId="5" borderId="0" xfId="0" applyFont="1" applyFill="1"/>
    <xf numFmtId="0" fontId="14" fillId="5" borderId="0" xfId="0" applyFont="1" applyFill="1"/>
    <xf numFmtId="0" fontId="15" fillId="5" borderId="0" xfId="0" applyFont="1" applyFill="1"/>
    <xf numFmtId="0" fontId="13" fillId="3" borderId="5" xfId="0" applyFont="1" applyFill="1" applyBorder="1"/>
    <xf numFmtId="0" fontId="14" fillId="3" borderId="5" xfId="0" applyFont="1" applyFill="1" applyBorder="1"/>
    <xf numFmtId="0" fontId="15" fillId="3" borderId="5" xfId="0" applyFont="1" applyFill="1" applyBorder="1"/>
    <xf numFmtId="0" fontId="13" fillId="5" borderId="5" xfId="0" applyFont="1" applyFill="1" applyBorder="1"/>
    <xf numFmtId="0" fontId="14" fillId="5" borderId="5" xfId="0" applyFont="1" applyFill="1" applyBorder="1"/>
    <xf numFmtId="0" fontId="15" fillId="5" borderId="5" xfId="0" applyFont="1" applyFill="1" applyBorder="1"/>
    <xf numFmtId="0" fontId="16" fillId="3" borderId="5" xfId="0" applyFont="1" applyFill="1" applyBorder="1"/>
    <xf numFmtId="0" fontId="17" fillId="5" borderId="5" xfId="0" applyFont="1" applyFill="1" applyBorder="1"/>
    <xf numFmtId="0" fontId="17" fillId="3" borderId="5" xfId="0" applyFont="1" applyFill="1" applyBorder="1"/>
    <xf numFmtId="0" fontId="18" fillId="5" borderId="5" xfId="0" applyFont="1" applyFill="1" applyBorder="1"/>
    <xf numFmtId="0" fontId="18" fillId="3" borderId="5" xfId="0" applyFont="1" applyFill="1" applyBorder="1"/>
    <xf numFmtId="0" fontId="19" fillId="5" borderId="5" xfId="0" applyFont="1" applyFill="1" applyBorder="1"/>
    <xf numFmtId="0" fontId="19" fillId="3" borderId="5" xfId="0" applyFont="1" applyFill="1" applyBorder="1"/>
    <xf numFmtId="0" fontId="13" fillId="5" borderId="6" xfId="0" applyFont="1" applyFill="1" applyBorder="1"/>
    <xf numFmtId="0" fontId="14" fillId="5" borderId="6" xfId="0" applyFont="1" applyFill="1" applyBorder="1"/>
    <xf numFmtId="0" fontId="20" fillId="5" borderId="6" xfId="0" applyFont="1" applyFill="1" applyBorder="1"/>
    <xf numFmtId="0" fontId="13" fillId="3" borderId="0" xfId="0" applyFont="1" applyFill="1"/>
    <xf numFmtId="0" fontId="14" fillId="3" borderId="0" xfId="0" applyFont="1" applyFill="1"/>
    <xf numFmtId="0" fontId="20" fillId="3" borderId="0" xfId="0" applyFont="1" applyFill="1"/>
    <xf numFmtId="0" fontId="21" fillId="5" borderId="0" xfId="0" applyFont="1" applyFill="1"/>
    <xf numFmtId="0" fontId="13" fillId="5" borderId="0" xfId="0" applyFont="1" applyFill="1" applyAlignment="1">
      <alignment horizontal="right"/>
    </xf>
    <xf numFmtId="0" fontId="21" fillId="0" borderId="0" xfId="0" applyFont="1"/>
    <xf numFmtId="0" fontId="13" fillId="0" borderId="0" xfId="0" applyFont="1" applyAlignment="1">
      <alignment horizontal="right"/>
    </xf>
    <xf numFmtId="0" fontId="13" fillId="0" borderId="0" xfId="0" applyFont="1"/>
    <xf numFmtId="164" fontId="13" fillId="5" borderId="0" xfId="0" applyNumberFormat="1" applyFont="1" applyFill="1" applyAlignment="1">
      <alignment horizontal="right"/>
    </xf>
    <xf numFmtId="164" fontId="13" fillId="0" borderId="0" xfId="0" applyNumberFormat="1" applyFont="1" applyAlignment="1">
      <alignment horizontal="right"/>
    </xf>
    <xf numFmtId="0" fontId="22" fillId="0" borderId="0" xfId="0" applyFont="1"/>
    <xf numFmtId="0" fontId="23" fillId="0" borderId="0" xfId="0" applyFont="1"/>
    <xf numFmtId="0" fontId="13" fillId="6" borderId="0" xfId="0" applyFont="1" applyFill="1"/>
    <xf numFmtId="0" fontId="24" fillId="0" borderId="0" xfId="0" applyFont="1"/>
    <xf numFmtId="0" fontId="3" fillId="0" borderId="3" xfId="0" applyFont="1" applyBorder="1"/>
    <xf numFmtId="0" fontId="25" fillId="5" borderId="0" xfId="0" applyFont="1" applyFill="1"/>
    <xf numFmtId="0" fontId="26" fillId="5" borderId="0" xfId="0" applyFont="1" applyFill="1"/>
    <xf numFmtId="0" fontId="27" fillId="3" borderId="0" xfId="0" applyFont="1" applyFill="1"/>
    <xf numFmtId="0" fontId="21" fillId="3" borderId="0" xfId="0" applyFont="1" applyFill="1"/>
    <xf numFmtId="0" fontId="26" fillId="3" borderId="0" xfId="0" applyFont="1" applyFill="1"/>
    <xf numFmtId="0" fontId="28" fillId="5" borderId="0" xfId="0" applyFont="1" applyFill="1"/>
    <xf numFmtId="0" fontId="29" fillId="3" borderId="0" xfId="0" applyFont="1" applyFill="1"/>
    <xf numFmtId="0" fontId="30" fillId="5" borderId="0" xfId="0" applyFont="1" applyFill="1"/>
    <xf numFmtId="0" fontId="31" fillId="3" borderId="0" xfId="0" applyFont="1" applyFill="1"/>
    <xf numFmtId="0" fontId="13" fillId="7" borderId="0" xfId="0" applyFont="1" applyFill="1"/>
    <xf numFmtId="0" fontId="3" fillId="0" borderId="7" xfId="0" applyFont="1" applyBorder="1"/>
    <xf numFmtId="0" fontId="33" fillId="4" borderId="0" xfId="0" applyFont="1" applyFill="1"/>
    <xf numFmtId="0" fontId="14" fillId="0" borderId="0" xfId="0" applyFont="1"/>
    <xf numFmtId="0" fontId="35" fillId="0" borderId="0" xfId="0" applyFont="1"/>
    <xf numFmtId="0" fontId="35" fillId="3" borderId="0" xfId="0" applyFont="1" applyFill="1"/>
    <xf numFmtId="0" fontId="13" fillId="8" borderId="0" xfId="0" applyFont="1" applyFill="1"/>
    <xf numFmtId="0" fontId="13" fillId="8" borderId="0" xfId="0" applyFont="1" applyFill="1" applyAlignment="1">
      <alignment horizontal="center"/>
    </xf>
    <xf numFmtId="164" fontId="37" fillId="3" borderId="0" xfId="0" applyNumberFormat="1" applyFont="1" applyFill="1"/>
    <xf numFmtId="0" fontId="13" fillId="0" borderId="8" xfId="0" applyFont="1" applyBorder="1"/>
    <xf numFmtId="165" fontId="23" fillId="0" borderId="8" xfId="0" applyNumberFormat="1" applyFont="1" applyBorder="1"/>
    <xf numFmtId="164" fontId="23" fillId="0" borderId="8" xfId="0" applyNumberFormat="1" applyFont="1" applyBorder="1"/>
    <xf numFmtId="164" fontId="23" fillId="0" borderId="0" xfId="0" applyNumberFormat="1" applyFont="1"/>
    <xf numFmtId="0" fontId="38" fillId="0" borderId="0" xfId="0" applyFont="1"/>
    <xf numFmtId="0" fontId="39" fillId="0" borderId="0" xfId="0" applyFont="1"/>
    <xf numFmtId="164" fontId="39" fillId="0" borderId="0" xfId="0" applyNumberFormat="1" applyFont="1"/>
    <xf numFmtId="0" fontId="40" fillId="7" borderId="0" xfId="0" applyFont="1" applyFill="1"/>
    <xf numFmtId="0" fontId="41" fillId="0" borderId="0" xfId="0" applyFont="1"/>
    <xf numFmtId="0" fontId="3" fillId="0" borderId="8" xfId="0" applyFont="1" applyBorder="1"/>
    <xf numFmtId="0" fontId="40" fillId="0" borderId="8" xfId="0" applyFont="1" applyBorder="1"/>
    <xf numFmtId="165" fontId="42" fillId="0" borderId="8" xfId="0" applyNumberFormat="1" applyFont="1" applyBorder="1"/>
    <xf numFmtId="166" fontId="3" fillId="3" borderId="0" xfId="0" applyNumberFormat="1" applyFont="1" applyFill="1"/>
    <xf numFmtId="0" fontId="38" fillId="3" borderId="0" xfId="0" applyFont="1" applyFill="1"/>
    <xf numFmtId="165" fontId="37" fillId="0" borderId="0" xfId="0" applyNumberFormat="1" applyFont="1"/>
    <xf numFmtId="166" fontId="3" fillId="0" borderId="0" xfId="0" applyNumberFormat="1" applyFont="1"/>
    <xf numFmtId="166" fontId="13" fillId="0" borderId="8" xfId="0" applyNumberFormat="1" applyFont="1" applyBorder="1"/>
    <xf numFmtId="0" fontId="43" fillId="8" borderId="0" xfId="0" applyFont="1" applyFill="1" applyAlignment="1">
      <alignment horizontal="center"/>
    </xf>
    <xf numFmtId="0" fontId="9" fillId="8" borderId="0" xfId="0" applyFont="1" applyFill="1"/>
    <xf numFmtId="167" fontId="23" fillId="0" borderId="0" xfId="0" applyNumberFormat="1" applyFont="1"/>
    <xf numFmtId="0" fontId="32" fillId="2" borderId="0" xfId="0" applyFont="1" applyFill="1"/>
    <xf numFmtId="0" fontId="33" fillId="2" borderId="0" xfId="0" applyFont="1" applyFill="1" applyAlignment="1">
      <alignment horizontal="center"/>
    </xf>
    <xf numFmtId="164" fontId="37" fillId="0" borderId="0" xfId="0" applyNumberFormat="1" applyFont="1"/>
    <xf numFmtId="164" fontId="44" fillId="0" borderId="0" xfId="0" applyNumberFormat="1" applyFont="1" applyAlignment="1">
      <alignment horizontal="center"/>
    </xf>
    <xf numFmtId="0" fontId="44" fillId="0" borderId="0" xfId="0" applyFont="1" applyAlignment="1">
      <alignment horizontal="center"/>
    </xf>
    <xf numFmtId="0" fontId="9" fillId="3" borderId="0" xfId="0" applyFont="1" applyFill="1" applyAlignment="1">
      <alignment horizontal="center"/>
    </xf>
    <xf numFmtId="165" fontId="13" fillId="0" borderId="8" xfId="0" applyNumberFormat="1" applyFont="1" applyBorder="1"/>
    <xf numFmtId="0" fontId="9" fillId="3" borderId="8" xfId="0" applyFont="1" applyFill="1" applyBorder="1"/>
    <xf numFmtId="0" fontId="45" fillId="8" borderId="0" xfId="0" applyFont="1" applyFill="1" applyAlignment="1">
      <alignment horizontal="center"/>
    </xf>
    <xf numFmtId="0" fontId="46" fillId="4" borderId="0" xfId="0" applyFont="1" applyFill="1"/>
    <xf numFmtId="0" fontId="40" fillId="8" borderId="0" xfId="0" applyFont="1" applyFill="1" applyAlignment="1">
      <alignment horizontal="center"/>
    </xf>
    <xf numFmtId="164" fontId="47" fillId="0" borderId="0" xfId="0" applyNumberFormat="1" applyFont="1"/>
    <xf numFmtId="164" fontId="48" fillId="0" borderId="0" xfId="0" applyNumberFormat="1" applyFont="1"/>
    <xf numFmtId="164" fontId="49" fillId="0" borderId="0" xfId="0" applyNumberFormat="1" applyFont="1"/>
    <xf numFmtId="164" fontId="23" fillId="4" borderId="0" xfId="0" applyNumberFormat="1" applyFont="1" applyFill="1"/>
    <xf numFmtId="164" fontId="13" fillId="8" borderId="0" xfId="0" applyNumberFormat="1" applyFont="1" applyFill="1" applyAlignment="1">
      <alignment horizontal="center"/>
    </xf>
    <xf numFmtId="0" fontId="50" fillId="0" borderId="0" xfId="0" applyFont="1"/>
    <xf numFmtId="164" fontId="51" fillId="0" borderId="0" xfId="0" applyNumberFormat="1" applyFont="1"/>
    <xf numFmtId="165" fontId="23" fillId="3" borderId="0" xfId="0" applyNumberFormat="1" applyFont="1" applyFill="1"/>
    <xf numFmtId="0" fontId="3" fillId="8" borderId="0" xfId="0" applyFont="1" applyFill="1"/>
    <xf numFmtId="168" fontId="13" fillId="0" borderId="0" xfId="0" applyNumberFormat="1" applyFont="1"/>
    <xf numFmtId="0" fontId="52" fillId="0" borderId="0" xfId="0" applyFont="1"/>
    <xf numFmtId="0" fontId="53" fillId="4" borderId="0" xfId="0" applyFont="1" applyFill="1" applyAlignment="1">
      <alignment horizontal="center"/>
    </xf>
    <xf numFmtId="9" fontId="37" fillId="9" borderId="0" xfId="0" applyNumberFormat="1" applyFont="1" applyFill="1" applyAlignment="1">
      <alignment horizontal="center"/>
    </xf>
    <xf numFmtId="0" fontId="55" fillId="0" borderId="0" xfId="0" applyFont="1"/>
    <xf numFmtId="169" fontId="37" fillId="9" borderId="0" xfId="0" applyNumberFormat="1" applyFont="1" applyFill="1" applyAlignment="1">
      <alignment horizontal="center"/>
    </xf>
    <xf numFmtId="164" fontId="37" fillId="9" borderId="0" xfId="0" applyNumberFormat="1" applyFont="1" applyFill="1" applyAlignment="1">
      <alignment horizontal="center"/>
    </xf>
    <xf numFmtId="170" fontId="37" fillId="9" borderId="0" xfId="0" applyNumberFormat="1" applyFont="1" applyFill="1" applyAlignment="1">
      <alignment horizontal="center"/>
    </xf>
    <xf numFmtId="171" fontId="37" fillId="9" borderId="0" xfId="0" applyNumberFormat="1" applyFont="1" applyFill="1" applyAlignment="1">
      <alignment horizontal="center"/>
    </xf>
    <xf numFmtId="1" fontId="37" fillId="9" borderId="0" xfId="0" applyNumberFormat="1" applyFont="1" applyFill="1" applyAlignment="1">
      <alignment horizontal="center"/>
    </xf>
    <xf numFmtId="0" fontId="53" fillId="10" borderId="0" xfId="0" applyFont="1" applyFill="1"/>
    <xf numFmtId="0" fontId="3" fillId="10" borderId="0" xfId="0" applyFont="1" applyFill="1"/>
    <xf numFmtId="0" fontId="56" fillId="10" borderId="0" xfId="0" applyFont="1" applyFill="1"/>
    <xf numFmtId="0" fontId="57" fillId="10" borderId="0" xfId="0" applyFont="1" applyFill="1"/>
    <xf numFmtId="172" fontId="37" fillId="9" borderId="0" xfId="0" applyNumberFormat="1" applyFont="1" applyFill="1" applyAlignment="1">
      <alignment horizontal="center"/>
    </xf>
    <xf numFmtId="0" fontId="55" fillId="3" borderId="0" xfId="0" applyFont="1" applyFill="1"/>
    <xf numFmtId="0" fontId="6" fillId="3" borderId="0" xfId="0" applyFont="1" applyFill="1"/>
    <xf numFmtId="0" fontId="58" fillId="0" borderId="0" xfId="0" applyFont="1"/>
    <xf numFmtId="0" fontId="59" fillId="4" borderId="0" xfId="0" applyFont="1" applyFill="1"/>
    <xf numFmtId="0" fontId="60" fillId="4" borderId="0" xfId="0" applyFont="1" applyFill="1"/>
    <xf numFmtId="0" fontId="61" fillId="4" borderId="0" xfId="0" applyFont="1" applyFill="1"/>
    <xf numFmtId="164" fontId="55" fillId="0" borderId="0" xfId="0" applyNumberFormat="1" applyFont="1" applyAlignment="1">
      <alignment horizontal="center"/>
    </xf>
    <xf numFmtId="0" fontId="62" fillId="0" borderId="0" xfId="0" applyFont="1"/>
    <xf numFmtId="0" fontId="63" fillId="0" borderId="0" xfId="0" applyFont="1"/>
    <xf numFmtId="0" fontId="3" fillId="6" borderId="0" xfId="0" applyFont="1" applyFill="1"/>
    <xf numFmtId="0" fontId="0" fillId="6" borderId="0" xfId="0" applyFill="1"/>
    <xf numFmtId="0" fontId="65" fillId="10" borderId="0" xfId="0" applyFont="1" applyFill="1"/>
    <xf numFmtId="0" fontId="65" fillId="10" borderId="0" xfId="0" applyFont="1" applyFill="1" applyAlignment="1">
      <alignment horizontal="center"/>
    </xf>
    <xf numFmtId="0" fontId="56" fillId="4" borderId="0" xfId="0" applyFont="1" applyFill="1"/>
    <xf numFmtId="165" fontId="37" fillId="9" borderId="0" xfId="0" applyNumberFormat="1" applyFont="1" applyFill="1" applyAlignment="1">
      <alignment horizontal="center"/>
    </xf>
    <xf numFmtId="10" fontId="37" fillId="9" borderId="0" xfId="0" applyNumberFormat="1" applyFont="1" applyFill="1" applyAlignment="1">
      <alignment horizontal="center"/>
    </xf>
    <xf numFmtId="0" fontId="53" fillId="4" borderId="0" xfId="0" applyFont="1" applyFill="1"/>
    <xf numFmtId="0" fontId="13" fillId="8" borderId="4" xfId="0" applyFont="1" applyFill="1" applyBorder="1" applyAlignment="1">
      <alignment horizontal="left"/>
    </xf>
    <xf numFmtId="0" fontId="13" fillId="8" borderId="4" xfId="0" applyFont="1" applyFill="1" applyBorder="1" applyAlignment="1">
      <alignment horizontal="center"/>
    </xf>
    <xf numFmtId="0" fontId="66" fillId="0" borderId="0" xfId="0" applyFont="1"/>
    <xf numFmtId="164" fontId="67" fillId="0" borderId="0" xfId="0" applyNumberFormat="1" applyFont="1" applyAlignment="1">
      <alignment horizontal="center"/>
    </xf>
    <xf numFmtId="0" fontId="14" fillId="0" borderId="0" xfId="0" applyFont="1" applyAlignment="1">
      <alignment horizontal="left"/>
    </xf>
    <xf numFmtId="0" fontId="68" fillId="0" borderId="0" xfId="0" applyFont="1" applyAlignment="1">
      <alignment horizontal="center"/>
    </xf>
    <xf numFmtId="164" fontId="37" fillId="0" borderId="0" xfId="0" applyNumberFormat="1" applyFont="1" applyAlignment="1">
      <alignment horizontal="center"/>
    </xf>
    <xf numFmtId="10" fontId="13" fillId="0" borderId="0" xfId="0" applyNumberFormat="1" applyFont="1" applyAlignment="1">
      <alignment horizontal="center"/>
    </xf>
    <xf numFmtId="0" fontId="14" fillId="0" borderId="7" xfId="0" applyFont="1" applyBorder="1" applyAlignment="1">
      <alignment horizontal="left"/>
    </xf>
    <xf numFmtId="49" fontId="68" fillId="0" borderId="7" xfId="0" applyNumberFormat="1" applyFont="1" applyBorder="1" applyAlignment="1">
      <alignment horizontal="center"/>
    </xf>
    <xf numFmtId="164" fontId="67" fillId="0" borderId="7" xfId="0" applyNumberFormat="1" applyFont="1" applyBorder="1" applyAlignment="1">
      <alignment horizontal="center"/>
    </xf>
    <xf numFmtId="10" fontId="13" fillId="0" borderId="7" xfId="0" applyNumberFormat="1" applyFont="1" applyBorder="1" applyAlignment="1">
      <alignment horizontal="center"/>
    </xf>
    <xf numFmtId="10" fontId="33" fillId="4" borderId="0" xfId="0" applyNumberFormat="1" applyFont="1" applyFill="1" applyAlignment="1">
      <alignment horizontal="center"/>
    </xf>
    <xf numFmtId="0" fontId="33" fillId="4" borderId="0" xfId="0" applyFont="1" applyFill="1" applyAlignment="1">
      <alignment horizontal="left"/>
    </xf>
    <xf numFmtId="0" fontId="33" fillId="4" borderId="0" xfId="0" applyFont="1" applyFill="1" applyAlignment="1">
      <alignment horizontal="right"/>
    </xf>
    <xf numFmtId="0" fontId="50" fillId="3" borderId="0" xfId="0" applyFont="1" applyFill="1"/>
    <xf numFmtId="0" fontId="68" fillId="0" borderId="0" xfId="0" applyFont="1"/>
    <xf numFmtId="0" fontId="14" fillId="0" borderId="0" xfId="0" applyFont="1" applyAlignment="1">
      <alignment horizontal="center"/>
    </xf>
    <xf numFmtId="10" fontId="67" fillId="0" borderId="0" xfId="0" applyNumberFormat="1" applyFont="1" applyAlignment="1">
      <alignment horizontal="center"/>
    </xf>
    <xf numFmtId="165" fontId="14" fillId="0" borderId="0" xfId="0" applyNumberFormat="1" applyFont="1" applyAlignment="1">
      <alignment horizontal="center"/>
    </xf>
    <xf numFmtId="164" fontId="14" fillId="0" borderId="0" xfId="0" applyNumberFormat="1" applyFont="1" applyAlignment="1">
      <alignment horizontal="center"/>
    </xf>
    <xf numFmtId="0" fontId="33" fillId="4" borderId="0" xfId="0" applyFont="1" applyFill="1" applyAlignment="1">
      <alignment horizontal="center"/>
    </xf>
    <xf numFmtId="165" fontId="33" fillId="4" borderId="0" xfId="0" applyNumberFormat="1" applyFont="1" applyFill="1" applyAlignment="1">
      <alignment horizontal="center"/>
    </xf>
    <xf numFmtId="0" fontId="55" fillId="4" borderId="0" xfId="0" applyFont="1" applyFill="1" applyAlignment="1">
      <alignment horizontal="right"/>
    </xf>
    <xf numFmtId="173" fontId="55" fillId="0" borderId="0" xfId="0" applyNumberFormat="1" applyFont="1" applyAlignment="1">
      <alignment horizontal="center"/>
    </xf>
    <xf numFmtId="0" fontId="55" fillId="0" borderId="0" xfId="0" applyFont="1" applyAlignment="1">
      <alignment horizontal="right"/>
    </xf>
    <xf numFmtId="0" fontId="0" fillId="11" borderId="0" xfId="0" applyFill="1"/>
    <xf numFmtId="0" fontId="69" fillId="3" borderId="0" xfId="0" applyFont="1" applyFill="1"/>
    <xf numFmtId="0" fontId="70" fillId="3" borderId="0" xfId="0" applyFont="1" applyFill="1"/>
    <xf numFmtId="0" fontId="0" fillId="3" borderId="1" xfId="0" applyFill="1" applyBorder="1"/>
    <xf numFmtId="0" fontId="71" fillId="4" borderId="7" xfId="0" applyFont="1" applyFill="1" applyBorder="1" applyAlignment="1">
      <alignment horizontal="left"/>
    </xf>
    <xf numFmtId="0" fontId="0" fillId="4" borderId="7" xfId="0" applyFill="1" applyBorder="1"/>
    <xf numFmtId="0" fontId="0" fillId="3" borderId="7" xfId="0" applyFill="1" applyBorder="1"/>
    <xf numFmtId="0" fontId="72" fillId="12" borderId="9" xfId="0" applyFont="1" applyFill="1" applyBorder="1" applyAlignment="1">
      <alignment horizontal="right"/>
    </xf>
    <xf numFmtId="0" fontId="74" fillId="3" borderId="0" xfId="0" applyFont="1" applyFill="1"/>
    <xf numFmtId="0" fontId="72" fillId="12" borderId="11" xfId="0" applyFont="1" applyFill="1" applyBorder="1" applyAlignment="1">
      <alignment horizontal="right"/>
    </xf>
    <xf numFmtId="0" fontId="71" fillId="4" borderId="0" xfId="0" applyFont="1" applyFill="1" applyAlignment="1">
      <alignment horizontal="left"/>
    </xf>
    <xf numFmtId="0" fontId="75" fillId="14" borderId="13" xfId="0" applyFont="1" applyFill="1" applyBorder="1" applyAlignment="1">
      <alignment horizontal="left"/>
    </xf>
    <xf numFmtId="0" fontId="75" fillId="15" borderId="14" xfId="0" applyFont="1" applyFill="1" applyBorder="1" applyAlignment="1">
      <alignment horizontal="center"/>
    </xf>
    <xf numFmtId="0" fontId="76" fillId="16" borderId="15" xfId="0" applyFont="1" applyFill="1" applyBorder="1" applyAlignment="1">
      <alignment horizontal="center"/>
    </xf>
    <xf numFmtId="0" fontId="77" fillId="17" borderId="15" xfId="0" applyFont="1" applyFill="1" applyBorder="1" applyAlignment="1">
      <alignment horizontal="center"/>
    </xf>
    <xf numFmtId="0" fontId="78" fillId="14" borderId="15" xfId="0" applyFont="1" applyFill="1" applyBorder="1" applyAlignment="1">
      <alignment horizontal="center"/>
    </xf>
    <xf numFmtId="0" fontId="79" fillId="18" borderId="15" xfId="0" applyFont="1" applyFill="1" applyBorder="1" applyAlignment="1">
      <alignment horizontal="center"/>
    </xf>
    <xf numFmtId="0" fontId="80" fillId="19" borderId="15" xfId="0" applyFont="1" applyFill="1" applyBorder="1" applyAlignment="1">
      <alignment horizontal="center"/>
    </xf>
    <xf numFmtId="0" fontId="81" fillId="20" borderId="16" xfId="0" applyFont="1" applyFill="1" applyBorder="1"/>
    <xf numFmtId="174" fontId="75" fillId="15" borderId="17" xfId="0" applyNumberFormat="1" applyFont="1" applyFill="1" applyBorder="1" applyAlignment="1">
      <alignment horizontal="center"/>
    </xf>
    <xf numFmtId="174" fontId="82" fillId="20" borderId="0" xfId="0" applyNumberFormat="1" applyFont="1" applyFill="1" applyAlignment="1">
      <alignment horizontal="center"/>
    </xf>
    <xf numFmtId="0" fontId="81" fillId="3" borderId="5" xfId="0" applyFont="1" applyFill="1" applyBorder="1"/>
    <xf numFmtId="174" fontId="82" fillId="3" borderId="0" xfId="0" applyNumberFormat="1" applyFont="1" applyFill="1" applyAlignment="1">
      <alignment horizontal="center"/>
    </xf>
    <xf numFmtId="0" fontId="81" fillId="20" borderId="5" xfId="0" applyFont="1" applyFill="1" applyBorder="1"/>
    <xf numFmtId="175" fontId="75" fillId="15" borderId="17" xfId="0" applyNumberFormat="1" applyFont="1" applyFill="1" applyBorder="1" applyAlignment="1">
      <alignment horizontal="center"/>
    </xf>
    <xf numFmtId="175" fontId="82" fillId="3" borderId="0" xfId="0" applyNumberFormat="1" applyFont="1" applyFill="1" applyAlignment="1">
      <alignment horizontal="center"/>
    </xf>
    <xf numFmtId="169" fontId="75" fillId="15" borderId="17" xfId="0" applyNumberFormat="1" applyFont="1" applyFill="1" applyBorder="1" applyAlignment="1">
      <alignment horizontal="center"/>
    </xf>
    <xf numFmtId="169" fontId="82" fillId="20" borderId="0" xfId="0" applyNumberFormat="1" applyFont="1" applyFill="1" applyAlignment="1">
      <alignment horizontal="center"/>
    </xf>
    <xf numFmtId="164" fontId="75" fillId="15" borderId="17" xfId="0" applyNumberFormat="1" applyFont="1" applyFill="1" applyBorder="1" applyAlignment="1">
      <alignment horizontal="center"/>
    </xf>
    <xf numFmtId="164" fontId="82" fillId="3" borderId="0" xfId="0" applyNumberFormat="1" applyFont="1" applyFill="1" applyAlignment="1">
      <alignment horizontal="center"/>
    </xf>
    <xf numFmtId="164" fontId="82" fillId="20" borderId="0" xfId="0" applyNumberFormat="1" applyFont="1" applyFill="1" applyAlignment="1">
      <alignment horizontal="center"/>
    </xf>
    <xf numFmtId="0" fontId="81" fillId="3" borderId="18" xfId="0" applyFont="1" applyFill="1" applyBorder="1"/>
    <xf numFmtId="175" fontId="75" fillId="15" borderId="19" xfId="0" applyNumberFormat="1" applyFont="1" applyFill="1" applyBorder="1" applyAlignment="1">
      <alignment horizontal="center"/>
    </xf>
    <xf numFmtId="175" fontId="82" fillId="3" borderId="7" xfId="0" applyNumberFormat="1" applyFont="1" applyFill="1" applyBorder="1" applyAlignment="1">
      <alignment horizontal="center"/>
    </xf>
    <xf numFmtId="0" fontId="81" fillId="20" borderId="0" xfId="0" applyFont="1" applyFill="1"/>
    <xf numFmtId="175" fontId="75" fillId="15" borderId="0" xfId="0" applyNumberFormat="1" applyFont="1" applyFill="1" applyAlignment="1">
      <alignment horizontal="center"/>
    </xf>
    <xf numFmtId="175" fontId="82" fillId="20" borderId="0" xfId="0" applyNumberFormat="1" applyFont="1" applyFill="1" applyAlignment="1">
      <alignment horizontal="center"/>
    </xf>
    <xf numFmtId="0" fontId="81" fillId="3" borderId="0" xfId="0" applyFont="1" applyFill="1"/>
    <xf numFmtId="0" fontId="75" fillId="14" borderId="13" xfId="0" applyFont="1" applyFill="1" applyBorder="1" applyAlignment="1">
      <alignment horizontal="center"/>
    </xf>
    <xf numFmtId="165" fontId="75" fillId="15" borderId="17" xfId="0" applyNumberFormat="1" applyFont="1" applyFill="1" applyBorder="1" applyAlignment="1">
      <alignment horizontal="center"/>
    </xf>
    <xf numFmtId="165" fontId="81" fillId="20" borderId="16" xfId="0" applyNumberFormat="1" applyFont="1" applyFill="1" applyBorder="1" applyAlignment="1">
      <alignment horizontal="center"/>
    </xf>
    <xf numFmtId="10" fontId="75" fillId="15" borderId="17" xfId="0" applyNumberFormat="1" applyFont="1" applyFill="1" applyBorder="1" applyAlignment="1">
      <alignment horizontal="center"/>
    </xf>
    <xf numFmtId="164" fontId="81" fillId="3" borderId="5" xfId="0" applyNumberFormat="1" applyFont="1" applyFill="1" applyBorder="1" applyAlignment="1">
      <alignment horizontal="center"/>
    </xf>
    <xf numFmtId="176" fontId="75" fillId="15" borderId="17" xfId="0" applyNumberFormat="1" applyFont="1" applyFill="1" applyBorder="1" applyAlignment="1">
      <alignment horizontal="center"/>
    </xf>
    <xf numFmtId="165" fontId="81" fillId="20" borderId="5" xfId="0" applyNumberFormat="1" applyFont="1" applyFill="1" applyBorder="1" applyAlignment="1">
      <alignment horizontal="center"/>
    </xf>
    <xf numFmtId="168" fontId="81" fillId="3" borderId="5" xfId="0" applyNumberFormat="1" applyFont="1" applyFill="1" applyBorder="1" applyAlignment="1">
      <alignment horizontal="center"/>
    </xf>
    <xf numFmtId="0" fontId="81" fillId="20" borderId="18" xfId="0" applyFont="1" applyFill="1" applyBorder="1"/>
    <xf numFmtId="1" fontId="75" fillId="15" borderId="19" xfId="0" applyNumberFormat="1" applyFont="1" applyFill="1" applyBorder="1" applyAlignment="1">
      <alignment horizontal="center"/>
    </xf>
    <xf numFmtId="168" fontId="81" fillId="20" borderId="5" xfId="0" applyNumberFormat="1" applyFont="1" applyFill="1" applyBorder="1" applyAlignment="1">
      <alignment horizontal="center"/>
    </xf>
    <xf numFmtId="0" fontId="83" fillId="3" borderId="18" xfId="0" applyFont="1" applyFill="1" applyBorder="1"/>
    <xf numFmtId="168" fontId="83" fillId="3" borderId="18" xfId="0" applyNumberFormat="1" applyFont="1" applyFill="1" applyBorder="1" applyAlignment="1">
      <alignment horizontal="center"/>
    </xf>
    <xf numFmtId="0" fontId="75" fillId="14" borderId="20" xfId="0" applyFont="1" applyFill="1" applyBorder="1" applyAlignment="1">
      <alignment horizontal="center"/>
    </xf>
    <xf numFmtId="164" fontId="81" fillId="20" borderId="21" xfId="0" applyNumberFormat="1" applyFont="1" applyFill="1" applyBorder="1" applyAlignment="1">
      <alignment horizontal="center"/>
    </xf>
    <xf numFmtId="0" fontId="0" fillId="14" borderId="13" xfId="0" applyFill="1" applyBorder="1"/>
    <xf numFmtId="164" fontId="81" fillId="3" borderId="22" xfId="0" applyNumberFormat="1" applyFont="1" applyFill="1" applyBorder="1" applyAlignment="1">
      <alignment horizontal="center"/>
    </xf>
    <xf numFmtId="0" fontId="0" fillId="20" borderId="16" xfId="0" applyFill="1" applyBorder="1"/>
    <xf numFmtId="0" fontId="84" fillId="20" borderId="16" xfId="0" applyFont="1" applyFill="1" applyBorder="1" applyAlignment="1">
      <alignment horizontal="center"/>
    </xf>
    <xf numFmtId="165" fontId="81" fillId="20" borderId="22" xfId="0" applyNumberFormat="1" applyFont="1" applyFill="1" applyBorder="1" applyAlignment="1">
      <alignment horizontal="center"/>
    </xf>
    <xf numFmtId="0" fontId="0" fillId="3" borderId="5" xfId="0" applyFill="1" applyBorder="1"/>
    <xf numFmtId="0" fontId="84" fillId="3" borderId="5" xfId="0" applyFont="1" applyFill="1" applyBorder="1" applyAlignment="1">
      <alignment horizontal="center"/>
    </xf>
    <xf numFmtId="0" fontId="81" fillId="3" borderId="6" xfId="0" applyFont="1" applyFill="1" applyBorder="1"/>
    <xf numFmtId="168" fontId="81" fillId="3" borderId="23" xfId="0" applyNumberFormat="1" applyFont="1" applyFill="1" applyBorder="1" applyAlignment="1">
      <alignment horizontal="center"/>
    </xf>
    <xf numFmtId="0" fontId="0" fillId="20" borderId="5" xfId="0" applyFill="1" applyBorder="1"/>
    <xf numFmtId="0" fontId="84" fillId="20" borderId="5" xfId="0" applyFont="1" applyFill="1" applyBorder="1" applyAlignment="1">
      <alignment horizontal="center"/>
    </xf>
    <xf numFmtId="0" fontId="0" fillId="0" borderId="17" xfId="0" applyBorder="1"/>
    <xf numFmtId="0" fontId="85" fillId="18" borderId="24" xfId="0" applyFont="1" applyFill="1" applyBorder="1"/>
    <xf numFmtId="165" fontId="86" fillId="18" borderId="25" xfId="0" applyNumberFormat="1" applyFont="1" applyFill="1" applyBorder="1" applyAlignment="1">
      <alignment horizontal="center"/>
    </xf>
    <xf numFmtId="0" fontId="0" fillId="3" borderId="18" xfId="0" applyFill="1" applyBorder="1"/>
    <xf numFmtId="0" fontId="84" fillId="3" borderId="18" xfId="0" applyFont="1" applyFill="1" applyBorder="1" applyAlignment="1">
      <alignment horizontal="center"/>
    </xf>
    <xf numFmtId="0" fontId="37" fillId="0" borderId="0" xfId="0" applyFont="1"/>
    <xf numFmtId="166" fontId="37" fillId="0" borderId="0" xfId="0" applyNumberFormat="1" applyFont="1" applyAlignment="1">
      <alignment horizontal="right"/>
    </xf>
    <xf numFmtId="0" fontId="37" fillId="12" borderId="0" xfId="0" applyFont="1" applyFill="1"/>
    <xf numFmtId="0" fontId="87" fillId="0" borderId="0" xfId="0" applyFont="1"/>
    <xf numFmtId="166" fontId="13" fillId="0" borderId="27" xfId="0" applyNumberFormat="1" applyFont="1" applyBorder="1" applyAlignment="1">
      <alignment horizontal="right"/>
    </xf>
    <xf numFmtId="166" fontId="13" fillId="0" borderId="0" xfId="0" applyNumberFormat="1" applyFont="1" applyAlignment="1">
      <alignment horizontal="right"/>
    </xf>
    <xf numFmtId="0" fontId="91" fillId="3" borderId="0" xfId="0" applyFont="1" applyFill="1"/>
    <xf numFmtId="0" fontId="92" fillId="3" borderId="0" xfId="0" applyFont="1" applyFill="1"/>
    <xf numFmtId="16" fontId="13" fillId="8" borderId="0" xfId="0" applyNumberFormat="1" applyFont="1" applyFill="1" applyAlignment="1">
      <alignment horizontal="center"/>
    </xf>
    <xf numFmtId="0" fontId="37" fillId="3" borderId="0" xfId="0" applyFont="1" applyFill="1"/>
    <xf numFmtId="166" fontId="13" fillId="3" borderId="29" xfId="0" applyNumberFormat="1" applyFont="1" applyFill="1" applyBorder="1" applyAlignment="1">
      <alignment horizontal="right"/>
    </xf>
    <xf numFmtId="0" fontId="87" fillId="3" borderId="0" xfId="0" applyFont="1" applyFill="1"/>
    <xf numFmtId="177" fontId="87" fillId="3" borderId="0" xfId="0" applyNumberFormat="1" applyFont="1" applyFill="1" applyAlignment="1">
      <alignment horizontal="right"/>
    </xf>
    <xf numFmtId="178" fontId="37" fillId="3" borderId="0" xfId="0" applyNumberFormat="1" applyFont="1" applyFill="1"/>
    <xf numFmtId="178" fontId="37" fillId="12" borderId="0" xfId="0" applyNumberFormat="1" applyFont="1" applyFill="1"/>
    <xf numFmtId="0" fontId="93" fillId="4" borderId="0" xfId="0" applyFont="1" applyFill="1"/>
    <xf numFmtId="178" fontId="37" fillId="3" borderId="0" xfId="0" applyNumberFormat="1" applyFont="1" applyFill="1" applyAlignment="1">
      <alignment horizontal="right"/>
    </xf>
    <xf numFmtId="178" fontId="37" fillId="12" borderId="0" xfId="0" applyNumberFormat="1" applyFont="1" applyFill="1" applyAlignment="1">
      <alignment horizontal="right"/>
    </xf>
    <xf numFmtId="0" fontId="41" fillId="3" borderId="0" xfId="0" applyFont="1" applyFill="1"/>
    <xf numFmtId="0" fontId="40" fillId="3" borderId="0" xfId="0" applyFont="1" applyFill="1"/>
    <xf numFmtId="177" fontId="88" fillId="3" borderId="0" xfId="0" applyNumberFormat="1" applyFont="1" applyFill="1" applyAlignment="1">
      <alignment horizontal="right"/>
    </xf>
    <xf numFmtId="0" fontId="37" fillId="3" borderId="0" xfId="0" applyFont="1" applyFill="1" applyAlignment="1">
      <alignment horizontal="right"/>
    </xf>
    <xf numFmtId="178" fontId="93" fillId="4" borderId="0" xfId="0" applyNumberFormat="1" applyFont="1" applyFill="1"/>
    <xf numFmtId="178" fontId="13" fillId="8" borderId="0" xfId="0" applyNumberFormat="1" applyFont="1" applyFill="1"/>
    <xf numFmtId="178" fontId="13" fillId="12" borderId="0" xfId="0" applyNumberFormat="1" applyFont="1" applyFill="1"/>
    <xf numFmtId="178" fontId="13" fillId="3" borderId="0" xfId="0" applyNumberFormat="1" applyFont="1" applyFill="1"/>
    <xf numFmtId="0" fontId="13" fillId="12" borderId="0" xfId="0" applyFont="1" applyFill="1"/>
    <xf numFmtId="0" fontId="94" fillId="3" borderId="0" xfId="0" applyFont="1" applyFill="1"/>
    <xf numFmtId="17" fontId="13" fillId="8" borderId="0" xfId="0" applyNumberFormat="1" applyFont="1" applyFill="1" applyAlignment="1">
      <alignment horizontal="center"/>
    </xf>
    <xf numFmtId="166" fontId="37" fillId="3" borderId="0" xfId="0" applyNumberFormat="1" applyFont="1" applyFill="1" applyAlignment="1">
      <alignment horizontal="right"/>
    </xf>
    <xf numFmtId="166" fontId="37" fillId="3" borderId="26" xfId="0" applyNumberFormat="1" applyFont="1" applyFill="1" applyBorder="1" applyAlignment="1">
      <alignment horizontal="right"/>
    </xf>
    <xf numFmtId="166" fontId="23" fillId="0" borderId="27" xfId="0" applyNumberFormat="1" applyFont="1" applyBorder="1" applyAlignment="1">
      <alignment horizontal="right"/>
    </xf>
    <xf numFmtId="166" fontId="13" fillId="0" borderId="30" xfId="0" applyNumberFormat="1" applyFont="1" applyBorder="1" applyAlignment="1">
      <alignment horizontal="right"/>
    </xf>
    <xf numFmtId="166" fontId="13" fillId="0" borderId="0" xfId="0" applyNumberFormat="1" applyFont="1"/>
    <xf numFmtId="166" fontId="93" fillId="4" borderId="0" xfId="0" applyNumberFormat="1" applyFont="1" applyFill="1"/>
    <xf numFmtId="166" fontId="37" fillId="0" borderId="27" xfId="0" applyNumberFormat="1" applyFont="1" applyBorder="1" applyAlignment="1">
      <alignment horizontal="right"/>
    </xf>
    <xf numFmtId="166" fontId="53" fillId="4" borderId="0" xfId="0" applyNumberFormat="1" applyFont="1" applyFill="1"/>
    <xf numFmtId="166" fontId="13" fillId="0" borderId="29" xfId="0" applyNumberFormat="1" applyFont="1" applyBorder="1" applyAlignment="1">
      <alignment horizontal="right"/>
    </xf>
    <xf numFmtId="0" fontId="88" fillId="0" borderId="0" xfId="0" applyFont="1"/>
    <xf numFmtId="166" fontId="40" fillId="0" borderId="27" xfId="0" applyNumberFormat="1" applyFont="1" applyBorder="1" applyAlignment="1">
      <alignment horizontal="right"/>
    </xf>
    <xf numFmtId="178" fontId="87" fillId="0" borderId="28" xfId="0" applyNumberFormat="1" applyFont="1" applyBorder="1"/>
    <xf numFmtId="166" fontId="87" fillId="0" borderId="0" xfId="0" applyNumberFormat="1" applyFont="1" applyAlignment="1">
      <alignment horizontal="right"/>
    </xf>
    <xf numFmtId="0" fontId="47" fillId="0" borderId="0" xfId="0" applyFont="1"/>
    <xf numFmtId="0" fontId="23" fillId="3" borderId="0" xfId="0" applyFont="1" applyFill="1" applyAlignment="1">
      <alignment horizontal="center"/>
    </xf>
    <xf numFmtId="0" fontId="98" fillId="0" borderId="0" xfId="0" applyFont="1"/>
    <xf numFmtId="0" fontId="92" fillId="8" borderId="0" xfId="0" applyFont="1" applyFill="1"/>
    <xf numFmtId="0" fontId="23" fillId="3" borderId="0" xfId="0" applyFont="1" applyFill="1"/>
    <xf numFmtId="0" fontId="90" fillId="3" borderId="0" xfId="0" applyFont="1" applyFill="1"/>
    <xf numFmtId="0" fontId="93" fillId="4" borderId="0" xfId="0" applyFont="1" applyFill="1" applyAlignment="1">
      <alignment horizontal="right"/>
    </xf>
    <xf numFmtId="0" fontId="92" fillId="8" borderId="0" xfId="0" applyFont="1" applyFill="1" applyAlignment="1">
      <alignment horizontal="right"/>
    </xf>
    <xf numFmtId="0" fontId="96" fillId="3" borderId="0" xfId="0" applyFont="1" applyFill="1"/>
    <xf numFmtId="0" fontId="9" fillId="3" borderId="0" xfId="0" applyFont="1" applyFill="1" applyAlignment="1">
      <alignment horizontal="right"/>
    </xf>
    <xf numFmtId="165" fontId="67" fillId="0" borderId="0" xfId="0" applyNumberFormat="1" applyFont="1"/>
    <xf numFmtId="168" fontId="67" fillId="0" borderId="0" xfId="0" applyNumberFormat="1" applyFont="1"/>
    <xf numFmtId="17" fontId="23" fillId="3" borderId="0" xfId="0" applyNumberFormat="1" applyFont="1" applyFill="1"/>
    <xf numFmtId="168" fontId="23" fillId="3" borderId="0" xfId="0" applyNumberFormat="1" applyFont="1" applyFill="1"/>
    <xf numFmtId="164" fontId="67" fillId="0" borderId="0" xfId="0" applyNumberFormat="1" applyFont="1"/>
    <xf numFmtId="168" fontId="47" fillId="0" borderId="0" xfId="0" applyNumberFormat="1" applyFont="1"/>
    <xf numFmtId="179" fontId="23" fillId="3" borderId="0" xfId="0" applyNumberFormat="1" applyFont="1" applyFill="1"/>
    <xf numFmtId="179" fontId="67" fillId="0" borderId="0" xfId="0" applyNumberFormat="1" applyFont="1"/>
    <xf numFmtId="0" fontId="47" fillId="0" borderId="0" xfId="0" applyFont="1" applyAlignment="1">
      <alignment horizontal="center"/>
    </xf>
    <xf numFmtId="179" fontId="100" fillId="0" borderId="0" xfId="0" applyNumberFormat="1" applyFont="1" applyAlignment="1">
      <alignment horizontal="center"/>
    </xf>
    <xf numFmtId="165" fontId="47" fillId="0" borderId="0" xfId="0" applyNumberFormat="1" applyFont="1" applyAlignment="1">
      <alignment horizontal="center"/>
    </xf>
    <xf numFmtId="179" fontId="100" fillId="6" borderId="0" xfId="0" applyNumberFormat="1" applyFont="1" applyFill="1" applyAlignment="1">
      <alignment horizontal="center"/>
    </xf>
    <xf numFmtId="179" fontId="47" fillId="0" borderId="0" xfId="0" applyNumberFormat="1" applyFont="1" applyAlignment="1">
      <alignment horizontal="center"/>
    </xf>
    <xf numFmtId="179" fontId="47" fillId="6" borderId="0" xfId="0" applyNumberFormat="1" applyFont="1" applyFill="1" applyAlignment="1">
      <alignment horizontal="center"/>
    </xf>
    <xf numFmtId="164" fontId="47" fillId="0" borderId="0" xfId="0" applyNumberFormat="1" applyFont="1" applyAlignment="1">
      <alignment horizontal="center"/>
    </xf>
    <xf numFmtId="164" fontId="47" fillId="6" borderId="0" xfId="0" applyNumberFormat="1" applyFont="1" applyFill="1" applyAlignment="1">
      <alignment horizontal="center"/>
    </xf>
    <xf numFmtId="166" fontId="6" fillId="0" borderId="0" xfId="0" applyNumberFormat="1" applyFont="1"/>
    <xf numFmtId="177" fontId="101" fillId="3" borderId="0" xfId="0" applyNumberFormat="1" applyFont="1" applyFill="1" applyAlignment="1">
      <alignment horizontal="right"/>
    </xf>
    <xf numFmtId="1" fontId="37" fillId="3" borderId="0" xfId="0" applyNumberFormat="1" applyFont="1" applyFill="1" applyAlignment="1">
      <alignment horizontal="right"/>
    </xf>
    <xf numFmtId="177" fontId="37" fillId="3" borderId="0" xfId="0" applyNumberFormat="1" applyFont="1" applyFill="1" applyAlignment="1">
      <alignment horizontal="right"/>
    </xf>
    <xf numFmtId="172" fontId="37" fillId="3" borderId="0" xfId="0" applyNumberFormat="1" applyFont="1" applyFill="1" applyAlignment="1">
      <alignment horizontal="right"/>
    </xf>
    <xf numFmtId="172" fontId="37" fillId="3" borderId="0" xfId="0" applyNumberFormat="1" applyFont="1" applyFill="1" applyAlignment="1">
      <alignment horizontal="center"/>
    </xf>
    <xf numFmtId="0" fontId="13" fillId="3" borderId="0" xfId="0" applyFont="1" applyFill="1" applyAlignment="1">
      <alignment horizontal="right"/>
    </xf>
    <xf numFmtId="0" fontId="13" fillId="3" borderId="28" xfId="0" applyFont="1" applyFill="1" applyBorder="1"/>
    <xf numFmtId="177" fontId="96" fillId="3" borderId="0" xfId="0" applyNumberFormat="1" applyFont="1" applyFill="1" applyAlignment="1">
      <alignment horizontal="right"/>
    </xf>
    <xf numFmtId="0" fontId="33" fillId="4" borderId="31" xfId="0" applyFont="1" applyFill="1" applyBorder="1" applyAlignment="1">
      <alignment horizontal="center"/>
    </xf>
    <xf numFmtId="164" fontId="23" fillId="12" borderId="32" xfId="0" applyNumberFormat="1" applyFont="1" applyFill="1" applyBorder="1" applyAlignment="1">
      <alignment horizontal="center"/>
    </xf>
    <xf numFmtId="164" fontId="22" fillId="12" borderId="32" xfId="0" applyNumberFormat="1" applyFont="1" applyFill="1" applyBorder="1" applyAlignment="1">
      <alignment horizontal="center"/>
    </xf>
    <xf numFmtId="164" fontId="23" fillId="12" borderId="33" xfId="0" applyNumberFormat="1" applyFont="1" applyFill="1" applyBorder="1" applyAlignment="1">
      <alignment horizontal="center"/>
    </xf>
    <xf numFmtId="164" fontId="23" fillId="12" borderId="34" xfId="0" applyNumberFormat="1" applyFont="1" applyFill="1" applyBorder="1" applyAlignment="1">
      <alignment horizontal="center"/>
    </xf>
    <xf numFmtId="164" fontId="23" fillId="12" borderId="37" xfId="0" applyNumberFormat="1" applyFont="1" applyFill="1" applyBorder="1" applyAlignment="1">
      <alignment horizontal="center"/>
    </xf>
    <xf numFmtId="0" fontId="68" fillId="3" borderId="0" xfId="0" applyFont="1" applyFill="1"/>
    <xf numFmtId="180" fontId="10" fillId="0" borderId="3" xfId="0" applyNumberFormat="1" applyFont="1" applyBorder="1"/>
    <xf numFmtId="181" fontId="10" fillId="0" borderId="3" xfId="0" applyNumberFormat="1" applyFont="1" applyBorder="1"/>
    <xf numFmtId="180" fontId="11" fillId="0" borderId="3" xfId="0" applyNumberFormat="1" applyFont="1" applyBorder="1"/>
    <xf numFmtId="180" fontId="12" fillId="0" borderId="3" xfId="0" applyNumberFormat="1" applyFont="1" applyBorder="1"/>
    <xf numFmtId="0" fontId="102" fillId="0" borderId="0" xfId="0" applyFont="1"/>
    <xf numFmtId="0" fontId="33" fillId="0" borderId="0" xfId="0" applyFont="1"/>
    <xf numFmtId="0" fontId="53" fillId="0" borderId="0" xfId="0" applyFont="1"/>
    <xf numFmtId="168" fontId="95" fillId="0" borderId="0" xfId="0" applyNumberFormat="1" applyFont="1"/>
    <xf numFmtId="0" fontId="103" fillId="0" borderId="0" xfId="0" applyFont="1"/>
    <xf numFmtId="165" fontId="44" fillId="0" borderId="0" xfId="0" applyNumberFormat="1" applyFont="1" applyAlignment="1">
      <alignment horizontal="center"/>
    </xf>
    <xf numFmtId="178" fontId="37" fillId="3" borderId="26" xfId="0" applyNumberFormat="1" applyFont="1" applyFill="1" applyBorder="1" applyAlignment="1">
      <alignment horizontal="right"/>
    </xf>
    <xf numFmtId="178" fontId="13" fillId="3" borderId="29" xfId="0" applyNumberFormat="1" applyFont="1" applyFill="1" applyBorder="1" applyAlignment="1">
      <alignment horizontal="right"/>
    </xf>
    <xf numFmtId="178" fontId="93" fillId="4" borderId="0" xfId="0" applyNumberFormat="1" applyFont="1" applyFill="1" applyAlignment="1">
      <alignment horizontal="right"/>
    </xf>
    <xf numFmtId="178" fontId="23" fillId="3" borderId="0" xfId="0" applyNumberFormat="1" applyFont="1" applyFill="1" applyAlignment="1">
      <alignment horizontal="right"/>
    </xf>
    <xf numFmtId="178" fontId="13" fillId="3" borderId="27" xfId="0" applyNumberFormat="1" applyFont="1" applyFill="1" applyBorder="1" applyAlignment="1">
      <alignment horizontal="right"/>
    </xf>
    <xf numFmtId="178" fontId="37" fillId="3" borderId="8" xfId="0" applyNumberFormat="1" applyFont="1" applyFill="1" applyBorder="1" applyAlignment="1">
      <alignment horizontal="right"/>
    </xf>
    <xf numFmtId="178" fontId="13" fillId="3" borderId="28" xfId="0" applyNumberFormat="1" applyFont="1" applyFill="1" applyBorder="1" applyAlignment="1">
      <alignment horizontal="right"/>
    </xf>
    <xf numFmtId="178" fontId="13" fillId="12" borderId="29" xfId="0" applyNumberFormat="1" applyFont="1" applyFill="1" applyBorder="1" applyAlignment="1">
      <alignment horizontal="right"/>
    </xf>
    <xf numFmtId="178" fontId="37" fillId="12" borderId="27" xfId="0" applyNumberFormat="1" applyFont="1" applyFill="1" applyBorder="1" applyAlignment="1">
      <alignment horizontal="right"/>
    </xf>
    <xf numFmtId="178" fontId="37" fillId="3" borderId="27" xfId="0" applyNumberFormat="1" applyFont="1" applyFill="1" applyBorder="1" applyAlignment="1">
      <alignment horizontal="right"/>
    </xf>
    <xf numFmtId="178" fontId="23" fillId="12" borderId="0" xfId="0" applyNumberFormat="1" applyFont="1" applyFill="1" applyAlignment="1">
      <alignment horizontal="right"/>
    </xf>
    <xf numFmtId="178" fontId="13" fillId="12" borderId="27" xfId="0" applyNumberFormat="1" applyFont="1" applyFill="1" applyBorder="1" applyAlignment="1">
      <alignment horizontal="right"/>
    </xf>
    <xf numFmtId="178" fontId="88" fillId="12" borderId="28" xfId="0" applyNumberFormat="1" applyFont="1" applyFill="1" applyBorder="1" applyAlignment="1">
      <alignment horizontal="right"/>
    </xf>
    <xf numFmtId="178" fontId="88" fillId="3" borderId="28" xfId="0" applyNumberFormat="1" applyFont="1" applyFill="1" applyBorder="1" applyAlignment="1">
      <alignment horizontal="right"/>
    </xf>
    <xf numFmtId="178" fontId="23" fillId="3" borderId="8" xfId="0" applyNumberFormat="1" applyFont="1" applyFill="1" applyBorder="1" applyAlignment="1">
      <alignment horizontal="right"/>
    </xf>
    <xf numFmtId="166" fontId="92" fillId="8" borderId="0" xfId="0" applyNumberFormat="1" applyFont="1" applyFill="1" applyAlignment="1">
      <alignment horizontal="right"/>
    </xf>
    <xf numFmtId="178" fontId="13" fillId="3" borderId="8" xfId="0" applyNumberFormat="1" applyFont="1" applyFill="1" applyBorder="1" applyAlignment="1">
      <alignment horizontal="right"/>
    </xf>
    <xf numFmtId="178" fontId="13" fillId="3" borderId="0" xfId="0" applyNumberFormat="1" applyFont="1" applyFill="1" applyAlignment="1">
      <alignment horizontal="right"/>
    </xf>
    <xf numFmtId="178" fontId="23" fillId="3" borderId="27" xfId="0" applyNumberFormat="1" applyFont="1" applyFill="1" applyBorder="1" applyAlignment="1">
      <alignment horizontal="right"/>
    </xf>
    <xf numFmtId="178" fontId="96" fillId="3" borderId="0" xfId="0" applyNumberFormat="1" applyFont="1" applyFill="1" applyAlignment="1">
      <alignment horizontal="right"/>
    </xf>
    <xf numFmtId="166" fontId="97" fillId="22" borderId="0" xfId="0" applyNumberFormat="1" applyFont="1" applyFill="1" applyAlignment="1">
      <alignment horizontal="right"/>
    </xf>
    <xf numFmtId="166" fontId="99" fillId="21" borderId="0" xfId="0" applyNumberFormat="1" applyFont="1" applyFill="1" applyAlignment="1">
      <alignment horizontal="right"/>
    </xf>
    <xf numFmtId="178" fontId="89" fillId="3" borderId="0" xfId="0" applyNumberFormat="1" applyFont="1" applyFill="1" applyAlignment="1">
      <alignment horizontal="right"/>
    </xf>
    <xf numFmtId="178" fontId="23" fillId="3" borderId="29" xfId="0" applyNumberFormat="1" applyFont="1" applyFill="1" applyBorder="1" applyAlignment="1">
      <alignment horizontal="right"/>
    </xf>
    <xf numFmtId="178" fontId="23" fillId="3" borderId="28" xfId="0" applyNumberFormat="1" applyFont="1" applyFill="1" applyBorder="1" applyAlignment="1">
      <alignment horizontal="right"/>
    </xf>
    <xf numFmtId="178" fontId="37" fillId="3" borderId="35" xfId="0" applyNumberFormat="1" applyFont="1" applyFill="1" applyBorder="1" applyAlignment="1">
      <alignment horizontal="right"/>
    </xf>
    <xf numFmtId="178" fontId="37" fillId="3" borderId="36" xfId="0" applyNumberFormat="1" applyFont="1" applyFill="1" applyBorder="1" applyAlignment="1">
      <alignment horizontal="right"/>
    </xf>
    <xf numFmtId="178" fontId="23" fillId="6" borderId="35" xfId="0" applyNumberFormat="1" applyFont="1" applyFill="1" applyBorder="1" applyAlignment="1">
      <alignment horizontal="right"/>
    </xf>
    <xf numFmtId="178" fontId="37" fillId="3" borderId="38" xfId="0" applyNumberFormat="1" applyFont="1" applyFill="1" applyBorder="1" applyAlignment="1">
      <alignment horizontal="right"/>
    </xf>
    <xf numFmtId="178" fontId="37" fillId="3" borderId="39" xfId="0" applyNumberFormat="1" applyFont="1" applyFill="1" applyBorder="1" applyAlignment="1">
      <alignment horizontal="right"/>
    </xf>
    <xf numFmtId="182" fontId="34" fillId="0" borderId="0" xfId="0" applyNumberFormat="1" applyFont="1" applyProtection="1">
      <protection locked="0"/>
    </xf>
    <xf numFmtId="183" fontId="34" fillId="0" borderId="0" xfId="0" applyNumberFormat="1" applyFont="1" applyProtection="1">
      <protection locked="0"/>
    </xf>
    <xf numFmtId="0" fontId="34" fillId="0" borderId="0" xfId="0" applyFont="1" applyProtection="1">
      <protection locked="0"/>
    </xf>
    <xf numFmtId="164" fontId="34" fillId="0" borderId="0" xfId="0" applyNumberFormat="1" applyFont="1" applyProtection="1">
      <protection locked="0"/>
    </xf>
    <xf numFmtId="164" fontId="34" fillId="6" borderId="0" xfId="0" applyNumberFormat="1" applyFont="1" applyFill="1" applyProtection="1">
      <protection locked="0"/>
    </xf>
    <xf numFmtId="165" fontId="34" fillId="0" borderId="0" xfId="0" applyNumberFormat="1" applyFont="1" applyProtection="1">
      <protection locked="0"/>
    </xf>
    <xf numFmtId="167" fontId="34" fillId="0" borderId="0" xfId="0" applyNumberFormat="1" applyFont="1" applyProtection="1">
      <protection locked="0"/>
    </xf>
    <xf numFmtId="167" fontId="34" fillId="0" borderId="0" xfId="0" applyNumberFormat="1" applyFont="1" applyAlignment="1" applyProtection="1">
      <alignment horizontal="center"/>
      <protection locked="0"/>
    </xf>
    <xf numFmtId="0" fontId="34" fillId="0" borderId="0" xfId="0" applyFont="1" applyAlignment="1" applyProtection="1">
      <alignment horizontal="center"/>
      <protection locked="0"/>
    </xf>
    <xf numFmtId="184" fontId="34" fillId="0" borderId="0" xfId="0" applyNumberFormat="1" applyFont="1" applyProtection="1">
      <protection locked="0"/>
    </xf>
    <xf numFmtId="185" fontId="34" fillId="0" borderId="0" xfId="0" applyNumberFormat="1" applyFont="1" applyProtection="1">
      <protection locked="0"/>
    </xf>
    <xf numFmtId="186" fontId="34" fillId="0" borderId="0" xfId="0" applyNumberFormat="1" applyFont="1" applyProtection="1">
      <protection locked="0"/>
    </xf>
    <xf numFmtId="164" fontId="22" fillId="0" borderId="0" xfId="0" applyNumberFormat="1" applyFont="1" applyProtection="1">
      <protection locked="0"/>
    </xf>
    <xf numFmtId="165" fontId="34" fillId="3" borderId="0" xfId="0" applyNumberFormat="1" applyFont="1" applyFill="1" applyProtection="1">
      <protection locked="0"/>
    </xf>
    <xf numFmtId="9" fontId="34" fillId="0" borderId="0" xfId="0" applyNumberFormat="1" applyFont="1" applyAlignment="1" applyProtection="1">
      <alignment horizontal="center"/>
      <protection locked="0"/>
    </xf>
    <xf numFmtId="9" fontId="54" fillId="3" borderId="0" xfId="0" applyNumberFormat="1" applyFont="1" applyFill="1" applyAlignment="1" applyProtection="1">
      <alignment horizontal="center"/>
      <protection locked="0"/>
    </xf>
    <xf numFmtId="169" fontId="34" fillId="0" borderId="0" xfId="0" applyNumberFormat="1" applyFont="1" applyAlignment="1" applyProtection="1">
      <alignment horizontal="center"/>
      <protection locked="0"/>
    </xf>
    <xf numFmtId="169" fontId="54" fillId="3" borderId="0" xfId="0" applyNumberFormat="1" applyFont="1" applyFill="1" applyAlignment="1" applyProtection="1">
      <alignment horizontal="center"/>
      <protection locked="0"/>
    </xf>
    <xf numFmtId="164" fontId="34" fillId="0" borderId="0" xfId="0" applyNumberFormat="1" applyFont="1" applyAlignment="1" applyProtection="1">
      <alignment horizontal="center"/>
      <protection locked="0"/>
    </xf>
    <xf numFmtId="164" fontId="54" fillId="3" borderId="0" xfId="0" applyNumberFormat="1" applyFont="1" applyFill="1" applyAlignment="1" applyProtection="1">
      <alignment horizontal="center"/>
      <protection locked="0"/>
    </xf>
    <xf numFmtId="187" fontId="34" fillId="0" borderId="0" xfId="0" applyNumberFormat="1" applyFont="1" applyAlignment="1" applyProtection="1">
      <alignment horizontal="center"/>
      <protection locked="0"/>
    </xf>
    <xf numFmtId="170" fontId="34" fillId="0" borderId="0" xfId="0" applyNumberFormat="1" applyFont="1" applyAlignment="1" applyProtection="1">
      <alignment horizontal="center"/>
      <protection locked="0"/>
    </xf>
    <xf numFmtId="187" fontId="54" fillId="3" borderId="0" xfId="0" applyNumberFormat="1" applyFont="1" applyFill="1" applyAlignment="1" applyProtection="1">
      <alignment horizontal="center"/>
      <protection locked="0"/>
    </xf>
    <xf numFmtId="171" fontId="34" fillId="0" borderId="0" xfId="0" applyNumberFormat="1" applyFont="1" applyAlignment="1" applyProtection="1">
      <alignment horizontal="center"/>
      <protection locked="0"/>
    </xf>
    <xf numFmtId="171" fontId="54" fillId="3" borderId="0" xfId="0" applyNumberFormat="1" applyFont="1" applyFill="1" applyAlignment="1" applyProtection="1">
      <alignment horizontal="center"/>
      <protection locked="0"/>
    </xf>
    <xf numFmtId="1" fontId="34" fillId="0" borderId="0" xfId="0" applyNumberFormat="1" applyFont="1" applyAlignment="1" applyProtection="1">
      <alignment horizontal="center"/>
      <protection locked="0"/>
    </xf>
    <xf numFmtId="1" fontId="54" fillId="3" borderId="0" xfId="0" applyNumberFormat="1" applyFont="1" applyFill="1" applyAlignment="1" applyProtection="1">
      <alignment horizontal="center"/>
      <protection locked="0"/>
    </xf>
    <xf numFmtId="172" fontId="34" fillId="3" borderId="0" xfId="0" applyNumberFormat="1" applyFont="1" applyFill="1" applyAlignment="1" applyProtection="1">
      <alignment horizontal="center"/>
      <protection locked="0"/>
    </xf>
    <xf numFmtId="172" fontId="34" fillId="0" borderId="0" xfId="0" applyNumberFormat="1" applyFont="1" applyAlignment="1" applyProtection="1">
      <alignment horizontal="center"/>
      <protection locked="0"/>
    </xf>
    <xf numFmtId="172" fontId="54" fillId="3" borderId="0" xfId="0" applyNumberFormat="1" applyFont="1" applyFill="1" applyAlignment="1" applyProtection="1">
      <alignment horizontal="center"/>
      <protection locked="0"/>
    </xf>
    <xf numFmtId="0" fontId="64" fillId="6" borderId="0" xfId="0" applyFont="1" applyFill="1" applyAlignment="1" applyProtection="1">
      <alignment horizontal="center"/>
      <protection locked="0"/>
    </xf>
    <xf numFmtId="187" fontId="34" fillId="6" borderId="0" xfId="0" applyNumberFormat="1" applyFont="1" applyFill="1" applyAlignment="1" applyProtection="1">
      <alignment horizontal="center"/>
      <protection locked="0"/>
    </xf>
    <xf numFmtId="165" fontId="34" fillId="0" borderId="0" xfId="0" applyNumberFormat="1" applyFont="1" applyAlignment="1" applyProtection="1">
      <alignment horizontal="center"/>
      <protection locked="0"/>
    </xf>
    <xf numFmtId="10" fontId="34" fillId="0" borderId="0" xfId="0" applyNumberFormat="1" applyFont="1" applyAlignment="1" applyProtection="1">
      <alignment horizontal="center"/>
      <protection locked="0"/>
    </xf>
    <xf numFmtId="0" fontId="73" fillId="13" borderId="10" xfId="0" applyFont="1" applyFill="1" applyBorder="1" applyAlignment="1" applyProtection="1">
      <alignment horizontal="center"/>
      <protection locked="0"/>
    </xf>
    <xf numFmtId="0" fontId="73" fillId="13" borderId="12" xfId="0" applyFont="1" applyFill="1" applyBorder="1" applyAlignment="1" applyProtection="1">
      <alignment horizontal="center"/>
      <protection locked="0"/>
    </xf>
    <xf numFmtId="181" fontId="34" fillId="0" borderId="0" xfId="0" applyNumberFormat="1" applyFont="1" applyAlignment="1" applyProtection="1">
      <alignment horizontal="center"/>
      <protection locked="0"/>
    </xf>
    <xf numFmtId="181" fontId="54" fillId="3" borderId="0" xfId="0" applyNumberFormat="1" applyFont="1" applyFill="1" applyAlignment="1" applyProtection="1">
      <alignment horizontal="center"/>
      <protection locked="0"/>
    </xf>
    <xf numFmtId="181" fontId="37" fillId="9" borderId="0" xfId="0" applyNumberFormat="1" applyFont="1" applyFill="1" applyAlignment="1">
      <alignment horizontal="center"/>
    </xf>
    <xf numFmtId="167" fontId="54" fillId="3" borderId="0" xfId="0" applyNumberFormat="1" applyFont="1" applyFill="1" applyAlignment="1" applyProtection="1">
      <alignment horizontal="center"/>
      <protection locked="0"/>
    </xf>
    <xf numFmtId="167" fontId="37" fillId="9" borderId="0" xfId="0" applyNumberFormat="1" applyFont="1" applyFill="1" applyAlignment="1">
      <alignment horizontal="center"/>
    </xf>
    <xf numFmtId="181" fontId="75" fillId="15" borderId="0" xfId="0" applyNumberFormat="1" applyFont="1" applyFill="1" applyAlignment="1">
      <alignment horizontal="center"/>
    </xf>
    <xf numFmtId="181" fontId="82" fillId="20" borderId="0" xfId="0" applyNumberFormat="1" applyFont="1" applyFill="1" applyAlignment="1">
      <alignment horizontal="center"/>
    </xf>
    <xf numFmtId="181" fontId="82" fillId="3" borderId="0" xfId="0" applyNumberFormat="1" applyFont="1" applyFill="1" applyAlignment="1">
      <alignment horizontal="center"/>
    </xf>
    <xf numFmtId="167" fontId="75" fillId="15" borderId="0" xfId="0" applyNumberFormat="1" applyFont="1" applyFill="1" applyAlignment="1">
      <alignment horizontal="center"/>
    </xf>
    <xf numFmtId="167" fontId="82" fillId="3" borderId="0" xfId="0" applyNumberFormat="1" applyFont="1" applyFill="1" applyAlignment="1">
      <alignment horizontal="center"/>
    </xf>
    <xf numFmtId="167" fontId="82" fillId="20" borderId="0" xfId="0" applyNumberFormat="1" applyFont="1" applyFill="1" applyAlignment="1">
      <alignment horizontal="center"/>
    </xf>
    <xf numFmtId="3" fontId="104" fillId="0" borderId="0" xfId="0" applyNumberFormat="1" applyFont="1"/>
    <xf numFmtId="1" fontId="104" fillId="3" borderId="0" xfId="0" applyNumberFormat="1" applyFont="1" applyFill="1"/>
    <xf numFmtId="0" fontId="105" fillId="0" borderId="0" xfId="0" applyFont="1"/>
    <xf numFmtId="167" fontId="107" fillId="23" borderId="0" xfId="0" applyNumberFormat="1" applyFont="1" applyFill="1"/>
    <xf numFmtId="0" fontId="107" fillId="24" borderId="0" xfId="0" applyFont="1" applyFill="1" applyAlignment="1">
      <alignment horizontal="center"/>
    </xf>
    <xf numFmtId="172" fontId="107" fillId="24" borderId="0" xfId="0" applyNumberFormat="1" applyFont="1" applyFill="1" applyAlignment="1">
      <alignment horizontal="center"/>
    </xf>
    <xf numFmtId="0" fontId="108" fillId="3" borderId="0" xfId="0" applyFont="1" applyFill="1"/>
    <xf numFmtId="178" fontId="13" fillId="25" borderId="29" xfId="0" applyNumberFormat="1" applyFont="1" applyFill="1" applyBorder="1" applyAlignment="1">
      <alignment horizontal="right"/>
    </xf>
    <xf numFmtId="0" fontId="50" fillId="25" borderId="0" xfId="0" applyFont="1" applyFill="1"/>
    <xf numFmtId="0" fontId="14" fillId="25" borderId="0" xfId="0" applyFont="1" applyFill="1"/>
    <xf numFmtId="178" fontId="37" fillId="25" borderId="0" xfId="0" applyNumberFormat="1" applyFont="1" applyFill="1" applyAlignment="1">
      <alignment horizontal="right"/>
    </xf>
    <xf numFmtId="0" fontId="109" fillId="27" borderId="1" xfId="0" applyFont="1" applyFill="1" applyBorder="1"/>
    <xf numFmtId="0" fontId="110" fillId="27" borderId="0" xfId="0" applyFont="1" applyFill="1"/>
    <xf numFmtId="9" fontId="106" fillId="7" borderId="0" xfId="0" applyNumberFormat="1" applyFont="1" applyFill="1" applyProtection="1">
      <protection locked="0"/>
    </xf>
    <xf numFmtId="0" fontId="13" fillId="23" borderId="0" xfId="0" applyFont="1" applyFill="1"/>
    <xf numFmtId="188" fontId="34" fillId="0" borderId="0" xfId="0" applyNumberFormat="1" applyFont="1" applyProtection="1">
      <protection locked="0"/>
    </xf>
    <xf numFmtId="188" fontId="23" fillId="0" borderId="0" xfId="0" applyNumberFormat="1" applyFont="1" applyProtection="1">
      <protection locked="0"/>
    </xf>
    <xf numFmtId="189" fontId="34" fillId="0" borderId="0" xfId="0" applyNumberFormat="1" applyFont="1" applyProtection="1">
      <protection locked="0"/>
    </xf>
    <xf numFmtId="188" fontId="23" fillId="0" borderId="8" xfId="0" applyNumberFormat="1" applyFont="1" applyBorder="1" applyProtection="1">
      <protection locked="0"/>
    </xf>
    <xf numFmtId="164" fontId="34" fillId="0" borderId="8" xfId="0" applyNumberFormat="1" applyFont="1" applyBorder="1" applyProtection="1">
      <protection locked="0"/>
    </xf>
    <xf numFmtId="184" fontId="34" fillId="0" borderId="8" xfId="0" applyNumberFormat="1" applyFont="1" applyBorder="1" applyProtection="1">
      <protection locked="0"/>
    </xf>
    <xf numFmtId="189" fontId="23" fillId="0" borderId="8" xfId="0" applyNumberFormat="1" applyFont="1" applyBorder="1" applyProtection="1">
      <protection locked="0"/>
    </xf>
    <xf numFmtId="178" fontId="22" fillId="3" borderId="0" xfId="0" applyNumberFormat="1" applyFont="1" applyFill="1" applyAlignment="1">
      <alignment horizontal="right"/>
    </xf>
    <xf numFmtId="166" fontId="22" fillId="0" borderId="0" xfId="0" applyNumberFormat="1" applyFont="1" applyAlignment="1">
      <alignment horizontal="right"/>
    </xf>
    <xf numFmtId="166" fontId="34" fillId="0" borderId="0" xfId="0" applyNumberFormat="1" applyFont="1" applyAlignment="1">
      <alignment horizontal="right"/>
    </xf>
    <xf numFmtId="166" fontId="13" fillId="0" borderId="40" xfId="0" applyNumberFormat="1" applyFont="1" applyBorder="1" applyAlignment="1">
      <alignment horizontal="right"/>
    </xf>
    <xf numFmtId="0" fontId="112" fillId="3" borderId="0" xfId="0" applyFont="1" applyFill="1"/>
    <xf numFmtId="0" fontId="32" fillId="4" borderId="42" xfId="0" applyFont="1" applyFill="1" applyBorder="1"/>
    <xf numFmtId="0" fontId="13" fillId="8" borderId="41" xfId="0" applyFont="1" applyFill="1" applyBorder="1" applyAlignment="1">
      <alignment horizontal="center"/>
    </xf>
    <xf numFmtId="0" fontId="37" fillId="12" borderId="41" xfId="0" applyFont="1" applyFill="1" applyBorder="1"/>
    <xf numFmtId="178" fontId="23" fillId="12" borderId="41" xfId="0" applyNumberFormat="1" applyFont="1" applyFill="1" applyBorder="1" applyAlignment="1">
      <alignment horizontal="right"/>
    </xf>
    <xf numFmtId="178" fontId="23" fillId="12" borderId="43" xfId="0" applyNumberFormat="1" applyFont="1" applyFill="1" applyBorder="1" applyAlignment="1">
      <alignment horizontal="right"/>
    </xf>
    <xf numFmtId="178" fontId="13" fillId="12" borderId="44" xfId="0" applyNumberFormat="1" applyFont="1" applyFill="1" applyBorder="1" applyAlignment="1">
      <alignment horizontal="right"/>
    </xf>
    <xf numFmtId="166" fontId="23" fillId="12" borderId="41" xfId="0" applyNumberFormat="1" applyFont="1" applyFill="1" applyBorder="1" applyAlignment="1">
      <alignment horizontal="right"/>
    </xf>
    <xf numFmtId="166" fontId="23" fillId="12" borderId="43" xfId="0" applyNumberFormat="1" applyFont="1" applyFill="1" applyBorder="1" applyAlignment="1">
      <alignment horizontal="right"/>
    </xf>
    <xf numFmtId="166" fontId="13" fillId="12" borderId="44" xfId="0" applyNumberFormat="1" applyFont="1" applyFill="1" applyBorder="1" applyAlignment="1">
      <alignment horizontal="right"/>
    </xf>
    <xf numFmtId="177" fontId="88" fillId="12" borderId="41" xfId="0" applyNumberFormat="1" applyFont="1" applyFill="1" applyBorder="1" applyAlignment="1">
      <alignment horizontal="right"/>
    </xf>
    <xf numFmtId="178" fontId="37" fillId="12" borderId="41" xfId="0" applyNumberFormat="1" applyFont="1" applyFill="1" applyBorder="1"/>
    <xf numFmtId="0" fontId="91" fillId="3" borderId="41" xfId="0" applyFont="1" applyFill="1" applyBorder="1"/>
    <xf numFmtId="178" fontId="93" fillId="4" borderId="41" xfId="0" applyNumberFormat="1" applyFont="1" applyFill="1" applyBorder="1" applyAlignment="1">
      <alignment horizontal="right"/>
    </xf>
    <xf numFmtId="178" fontId="37" fillId="12" borderId="41" xfId="0" applyNumberFormat="1" applyFont="1" applyFill="1" applyBorder="1" applyAlignment="1">
      <alignment horizontal="right"/>
    </xf>
    <xf numFmtId="177" fontId="87" fillId="12" borderId="41" xfId="0" applyNumberFormat="1" applyFont="1" applyFill="1" applyBorder="1" applyAlignment="1">
      <alignment horizontal="right"/>
    </xf>
    <xf numFmtId="0" fontId="37" fillId="3" borderId="41" xfId="0" applyFont="1" applyFill="1" applyBorder="1"/>
    <xf numFmtId="0" fontId="93" fillId="4" borderId="41" xfId="0" applyFont="1" applyFill="1" applyBorder="1"/>
    <xf numFmtId="178" fontId="37" fillId="12" borderId="43" xfId="0" applyNumberFormat="1" applyFont="1" applyFill="1" applyBorder="1" applyAlignment="1">
      <alignment horizontal="right"/>
    </xf>
    <xf numFmtId="0" fontId="37" fillId="12" borderId="41" xfId="0" applyFont="1" applyFill="1" applyBorder="1" applyAlignment="1">
      <alignment horizontal="right"/>
    </xf>
    <xf numFmtId="178" fontId="13" fillId="12" borderId="45" xfId="0" applyNumberFormat="1" applyFont="1" applyFill="1" applyBorder="1" applyAlignment="1">
      <alignment horizontal="right"/>
    </xf>
    <xf numFmtId="178" fontId="37" fillId="12" borderId="46" xfId="0" applyNumberFormat="1" applyFont="1" applyFill="1" applyBorder="1" applyAlignment="1">
      <alignment horizontal="right"/>
    </xf>
    <xf numFmtId="178" fontId="13" fillId="12" borderId="47" xfId="0" applyNumberFormat="1" applyFont="1" applyFill="1" applyBorder="1" applyAlignment="1">
      <alignment horizontal="right"/>
    </xf>
    <xf numFmtId="0" fontId="9" fillId="3" borderId="41" xfId="0" applyFont="1" applyFill="1" applyBorder="1"/>
    <xf numFmtId="16" fontId="13" fillId="8" borderId="41" xfId="0" applyNumberFormat="1" applyFont="1" applyFill="1" applyBorder="1" applyAlignment="1">
      <alignment horizontal="center"/>
    </xf>
    <xf numFmtId="0" fontId="13" fillId="8" borderId="41" xfId="0" applyFont="1" applyFill="1" applyBorder="1"/>
    <xf numFmtId="178" fontId="93" fillId="4" borderId="41" xfId="0" applyNumberFormat="1" applyFont="1" applyFill="1" applyBorder="1"/>
    <xf numFmtId="178" fontId="13" fillId="8" borderId="41" xfId="0" applyNumberFormat="1" applyFont="1" applyFill="1" applyBorder="1"/>
    <xf numFmtId="178" fontId="89" fillId="12" borderId="45" xfId="0" applyNumberFormat="1" applyFont="1" applyFill="1" applyBorder="1" applyAlignment="1">
      <alignment horizontal="right"/>
    </xf>
    <xf numFmtId="178" fontId="23" fillId="26" borderId="41" xfId="0" applyNumberFormat="1" applyFont="1" applyFill="1" applyBorder="1" applyAlignment="1">
      <alignment horizontal="right"/>
    </xf>
    <xf numFmtId="178" fontId="13" fillId="12" borderId="41" xfId="0" applyNumberFormat="1" applyFont="1" applyFill="1" applyBorder="1"/>
    <xf numFmtId="178" fontId="37" fillId="12" borderId="45" xfId="0" applyNumberFormat="1" applyFont="1" applyFill="1" applyBorder="1" applyAlignment="1">
      <alignment horizontal="right"/>
    </xf>
    <xf numFmtId="178" fontId="13" fillId="26" borderId="44" xfId="0" applyNumberFormat="1" applyFont="1" applyFill="1" applyBorder="1" applyAlignment="1">
      <alignment horizontal="right"/>
    </xf>
    <xf numFmtId="178" fontId="13" fillId="12" borderId="41" xfId="0" applyNumberFormat="1" applyFont="1" applyFill="1" applyBorder="1" applyAlignment="1">
      <alignment horizontal="right"/>
    </xf>
    <xf numFmtId="178" fontId="37" fillId="26" borderId="41" xfId="0" applyNumberFormat="1" applyFont="1" applyFill="1" applyBorder="1" applyAlignment="1">
      <alignment horizontal="right"/>
    </xf>
    <xf numFmtId="0" fontId="13" fillId="12" borderId="41" xfId="0" applyFont="1" applyFill="1" applyBorder="1"/>
    <xf numFmtId="178" fontId="88" fillId="12" borderId="47" xfId="0" applyNumberFormat="1" applyFont="1" applyFill="1" applyBorder="1" applyAlignment="1">
      <alignment horizontal="right"/>
    </xf>
    <xf numFmtId="0" fontId="13" fillId="3" borderId="41" xfId="0" applyFont="1" applyFill="1" applyBorder="1"/>
    <xf numFmtId="166" fontId="23" fillId="0" borderId="0" xfId="0" applyNumberFormat="1" applyFont="1" applyAlignment="1">
      <alignment horizontal="right"/>
    </xf>
    <xf numFmtId="166" fontId="37" fillId="12" borderId="41" xfId="0" applyNumberFormat="1" applyFont="1" applyFill="1" applyBorder="1" applyAlignment="1">
      <alignment horizontal="right"/>
    </xf>
    <xf numFmtId="166" fontId="37" fillId="12" borderId="43" xfId="0" applyNumberFormat="1" applyFont="1" applyFill="1" applyBorder="1" applyAlignment="1">
      <alignment horizontal="right"/>
    </xf>
    <xf numFmtId="166" fontId="13" fillId="12" borderId="48" xfId="0" applyNumberFormat="1" applyFont="1" applyFill="1" applyBorder="1" applyAlignment="1">
      <alignment horizontal="right"/>
    </xf>
    <xf numFmtId="166" fontId="13" fillId="0" borderId="41" xfId="0" applyNumberFormat="1" applyFont="1" applyBorder="1"/>
    <xf numFmtId="166" fontId="93" fillId="4" borderId="41" xfId="0" applyNumberFormat="1" applyFont="1" applyFill="1" applyBorder="1"/>
    <xf numFmtId="166" fontId="37" fillId="12" borderId="45" xfId="0" applyNumberFormat="1" applyFont="1" applyFill="1" applyBorder="1" applyAlignment="1">
      <alignment horizontal="right"/>
    </xf>
    <xf numFmtId="166" fontId="13" fillId="12" borderId="41" xfId="0" applyNumberFormat="1" applyFont="1" applyFill="1" applyBorder="1" applyAlignment="1">
      <alignment horizontal="right"/>
    </xf>
    <xf numFmtId="166" fontId="13" fillId="26" borderId="49" xfId="0" applyNumberFormat="1" applyFont="1" applyFill="1" applyBorder="1" applyAlignment="1">
      <alignment horizontal="right"/>
    </xf>
    <xf numFmtId="166" fontId="53" fillId="4" borderId="41" xfId="0" applyNumberFormat="1" applyFont="1" applyFill="1" applyBorder="1"/>
    <xf numFmtId="166" fontId="37" fillId="26" borderId="41" xfId="0" applyNumberFormat="1" applyFont="1" applyFill="1" applyBorder="1" applyAlignment="1">
      <alignment horizontal="right"/>
    </xf>
    <xf numFmtId="166" fontId="13" fillId="12" borderId="45" xfId="0" applyNumberFormat="1" applyFont="1" applyFill="1" applyBorder="1" applyAlignment="1">
      <alignment horizontal="right"/>
    </xf>
    <xf numFmtId="166" fontId="40" fillId="12" borderId="45" xfId="0" applyNumberFormat="1" applyFont="1" applyFill="1" applyBorder="1" applyAlignment="1">
      <alignment horizontal="right"/>
    </xf>
    <xf numFmtId="178" fontId="87" fillId="0" borderId="47" xfId="0" applyNumberFormat="1" applyFont="1" applyBorder="1"/>
    <xf numFmtId="166" fontId="87" fillId="12" borderId="41" xfId="0" applyNumberFormat="1" applyFont="1" applyFill="1" applyBorder="1" applyAlignment="1">
      <alignment horizontal="right"/>
    </xf>
    <xf numFmtId="0" fontId="9" fillId="0" borderId="41" xfId="0" applyFont="1" applyBorder="1"/>
    <xf numFmtId="0" fontId="92" fillId="8" borderId="41" xfId="0" applyFont="1" applyFill="1" applyBorder="1"/>
    <xf numFmtId="178" fontId="23" fillId="12" borderId="46" xfId="0" applyNumberFormat="1" applyFont="1" applyFill="1" applyBorder="1" applyAlignment="1">
      <alignment horizontal="right"/>
    </xf>
    <xf numFmtId="166" fontId="92" fillId="8" borderId="41" xfId="0" applyNumberFormat="1" applyFont="1" applyFill="1" applyBorder="1" applyAlignment="1">
      <alignment horizontal="right"/>
    </xf>
    <xf numFmtId="0" fontId="93" fillId="4" borderId="41" xfId="0" applyFont="1" applyFill="1" applyBorder="1" applyAlignment="1">
      <alignment horizontal="right"/>
    </xf>
    <xf numFmtId="0" fontId="92" fillId="8" borderId="41" xfId="0" applyFont="1" applyFill="1" applyBorder="1" applyAlignment="1">
      <alignment horizontal="right"/>
    </xf>
    <xf numFmtId="178" fontId="37" fillId="3" borderId="41" xfId="0" applyNumberFormat="1" applyFont="1" applyFill="1" applyBorder="1" applyAlignment="1">
      <alignment horizontal="right"/>
    </xf>
    <xf numFmtId="178" fontId="13" fillId="12" borderId="46" xfId="0" applyNumberFormat="1" applyFont="1" applyFill="1" applyBorder="1" applyAlignment="1">
      <alignment horizontal="right"/>
    </xf>
    <xf numFmtId="178" fontId="13" fillId="26" borderId="41" xfId="0" applyNumberFormat="1" applyFont="1" applyFill="1" applyBorder="1" applyAlignment="1">
      <alignment horizontal="right"/>
    </xf>
    <xf numFmtId="178" fontId="13" fillId="26" borderId="46" xfId="0" applyNumberFormat="1" applyFont="1" applyFill="1" applyBorder="1" applyAlignment="1">
      <alignment horizontal="right"/>
    </xf>
    <xf numFmtId="178" fontId="23" fillId="12" borderId="45" xfId="0" applyNumberFormat="1" applyFont="1" applyFill="1" applyBorder="1" applyAlignment="1">
      <alignment horizontal="right"/>
    </xf>
    <xf numFmtId="0" fontId="93" fillId="27" borderId="41" xfId="0" applyFont="1" applyFill="1" applyBorder="1" applyAlignment="1">
      <alignment horizontal="right"/>
    </xf>
    <xf numFmtId="178" fontId="96" fillId="12" borderId="41" xfId="0" applyNumberFormat="1" applyFont="1" applyFill="1" applyBorder="1" applyAlignment="1">
      <alignment horizontal="right"/>
    </xf>
    <xf numFmtId="166" fontId="99" fillId="12" borderId="41" xfId="0" applyNumberFormat="1" applyFont="1" applyFill="1" applyBorder="1" applyAlignment="1">
      <alignment horizontal="right"/>
    </xf>
    <xf numFmtId="166" fontId="97" fillId="12" borderId="41" xfId="0" applyNumberFormat="1" applyFont="1" applyFill="1" applyBorder="1" applyAlignment="1">
      <alignment horizontal="right"/>
    </xf>
    <xf numFmtId="0" fontId="9" fillId="12" borderId="41" xfId="0" applyFont="1" applyFill="1" applyBorder="1" applyAlignment="1">
      <alignment horizontal="right"/>
    </xf>
    <xf numFmtId="0" fontId="0" fillId="0" borderId="41" xfId="0" applyBorder="1"/>
    <xf numFmtId="0" fontId="113" fillId="3" borderId="0" xfId="0" applyFont="1" applyFill="1"/>
    <xf numFmtId="164" fontId="106" fillId="3" borderId="0" xfId="0" applyNumberFormat="1" applyFont="1" applyFill="1"/>
    <xf numFmtId="10" fontId="114" fillId="3" borderId="0" xfId="0" applyNumberFormat="1" applyFont="1" applyFill="1"/>
    <xf numFmtId="164" fontId="115" fillId="26" borderId="0" xfId="0" applyNumberFormat="1" applyFont="1" applyFill="1" applyAlignment="1">
      <alignment horizontal="center"/>
    </xf>
    <xf numFmtId="178" fontId="105" fillId="0" borderId="0" xfId="0" applyNumberFormat="1" applyFont="1"/>
    <xf numFmtId="178" fontId="105" fillId="24" borderId="0" xfId="0" applyNumberFormat="1" applyFont="1" applyFill="1"/>
    <xf numFmtId="0" fontId="0" fillId="27" borderId="0" xfId="0" applyFill="1"/>
    <xf numFmtId="0" fontId="71" fillId="27" borderId="0" xfId="0" applyFont="1" applyFill="1" applyAlignment="1">
      <alignment horizontal="left"/>
    </xf>
    <xf numFmtId="0" fontId="116" fillId="25" borderId="0" xfId="0" applyFont="1" applyFill="1"/>
    <xf numFmtId="169" fontId="82" fillId="28" borderId="5" xfId="0" applyNumberFormat="1" applyFont="1" applyFill="1" applyBorder="1" applyAlignment="1">
      <alignment horizontal="center"/>
    </xf>
    <xf numFmtId="0" fontId="81" fillId="28" borderId="5" xfId="0" applyFont="1" applyFill="1" applyBorder="1"/>
    <xf numFmtId="169" fontId="75" fillId="29" borderId="50" xfId="0" applyNumberFormat="1" applyFont="1" applyFill="1" applyBorder="1" applyAlignment="1">
      <alignment horizontal="center"/>
    </xf>
    <xf numFmtId="0" fontId="81" fillId="25" borderId="6" xfId="0" applyFont="1" applyFill="1" applyBorder="1"/>
    <xf numFmtId="0" fontId="0" fillId="25" borderId="50" xfId="0" applyFill="1" applyBorder="1"/>
    <xf numFmtId="169" fontId="82" fillId="25" borderId="5" xfId="0" applyNumberFormat="1" applyFont="1" applyFill="1" applyBorder="1" applyAlignment="1">
      <alignment horizontal="center"/>
    </xf>
    <xf numFmtId="0" fontId="81" fillId="25" borderId="5" xfId="0" applyFont="1" applyFill="1" applyBorder="1"/>
    <xf numFmtId="175" fontId="75" fillId="29" borderId="50" xfId="0" applyNumberFormat="1" applyFont="1" applyFill="1" applyBorder="1" applyAlignment="1">
      <alignment horizontal="center"/>
    </xf>
    <xf numFmtId="175" fontId="82" fillId="28" borderId="5" xfId="0" applyNumberFormat="1" applyFont="1" applyFill="1" applyBorder="1" applyAlignment="1">
      <alignment horizontal="center"/>
    </xf>
    <xf numFmtId="167" fontId="75" fillId="29" borderId="50" xfId="0" applyNumberFormat="1" applyFont="1" applyFill="1" applyBorder="1" applyAlignment="1">
      <alignment horizontal="center"/>
    </xf>
    <xf numFmtId="167" fontId="82" fillId="25" borderId="5" xfId="0" applyNumberFormat="1" applyFont="1" applyFill="1" applyBorder="1" applyAlignment="1">
      <alignment horizontal="center"/>
    </xf>
    <xf numFmtId="164" fontId="75" fillId="29" borderId="50" xfId="0" applyNumberFormat="1" applyFont="1" applyFill="1" applyBorder="1" applyAlignment="1">
      <alignment horizontal="center"/>
    </xf>
    <xf numFmtId="164" fontId="82" fillId="25" borderId="6" xfId="0" applyNumberFormat="1" applyFont="1" applyFill="1" applyBorder="1" applyAlignment="1">
      <alignment horizontal="center"/>
    </xf>
    <xf numFmtId="0" fontId="81" fillId="25" borderId="0" xfId="0" applyFont="1" applyFill="1"/>
    <xf numFmtId="0" fontId="81" fillId="28" borderId="51" xfId="0" applyFont="1" applyFill="1" applyBorder="1"/>
    <xf numFmtId="0" fontId="0" fillId="25" borderId="13" xfId="0" applyFill="1" applyBorder="1"/>
    <xf numFmtId="169" fontId="75" fillId="29" borderId="21" xfId="0" applyNumberFormat="1" applyFont="1" applyFill="1" applyBorder="1" applyAlignment="1">
      <alignment horizontal="center"/>
    </xf>
    <xf numFmtId="169" fontId="82" fillId="25" borderId="0" xfId="0" applyNumberFormat="1" applyFont="1" applyFill="1" applyAlignment="1">
      <alignment horizontal="center"/>
    </xf>
    <xf numFmtId="169" fontId="82" fillId="28" borderId="51" xfId="0" applyNumberFormat="1" applyFont="1" applyFill="1" applyBorder="1" applyAlignment="1">
      <alignment horizontal="center"/>
    </xf>
    <xf numFmtId="0" fontId="117" fillId="27" borderId="0" xfId="0" applyFont="1" applyFill="1"/>
    <xf numFmtId="0" fontId="118" fillId="23" borderId="0" xfId="0" applyFont="1" applyFill="1" applyAlignment="1">
      <alignment horizontal="center"/>
    </xf>
    <xf numFmtId="0" fontId="110" fillId="27" borderId="0" xfId="0" applyFont="1" applyFill="1" applyAlignment="1">
      <alignment horizontal="center"/>
    </xf>
    <xf numFmtId="0" fontId="113" fillId="25" borderId="0" xfId="0" applyFont="1" applyFill="1"/>
    <xf numFmtId="169" fontId="106" fillId="25" borderId="0" xfId="0" applyNumberFormat="1" applyFont="1" applyFill="1" applyAlignment="1">
      <alignment horizontal="center"/>
    </xf>
    <xf numFmtId="169" fontId="114" fillId="30" borderId="0" xfId="0" applyNumberFormat="1" applyFont="1" applyFill="1" applyAlignment="1">
      <alignment horizontal="center"/>
    </xf>
    <xf numFmtId="187" fontId="106" fillId="25" borderId="0" xfId="0" applyNumberFormat="1" applyFont="1" applyFill="1" applyAlignment="1">
      <alignment horizontal="center"/>
    </xf>
    <xf numFmtId="187" fontId="114" fillId="30" borderId="0" xfId="0" applyNumberFormat="1" applyFont="1" applyFill="1" applyAlignment="1">
      <alignment horizontal="center"/>
    </xf>
    <xf numFmtId="1" fontId="106" fillId="25" borderId="0" xfId="0" applyNumberFormat="1" applyFont="1" applyFill="1" applyAlignment="1">
      <alignment horizontal="center"/>
    </xf>
    <xf numFmtId="1" fontId="114" fillId="30" borderId="0" xfId="0" applyNumberFormat="1" applyFont="1" applyFill="1" applyAlignment="1">
      <alignment horizontal="center"/>
    </xf>
    <xf numFmtId="164" fontId="106" fillId="25" borderId="0" xfId="0" applyNumberFormat="1" applyFont="1" applyFill="1" applyAlignment="1">
      <alignment horizontal="center"/>
    </xf>
    <xf numFmtId="164" fontId="114" fillId="30" borderId="0" xfId="0" applyNumberFormat="1" applyFont="1" applyFill="1" applyAlignment="1">
      <alignment horizontal="center"/>
    </xf>
    <xf numFmtId="0" fontId="32" fillId="4" borderId="1" xfId="0" applyFont="1" applyFill="1" applyBorder="1"/>
    <xf numFmtId="0" fontId="0" fillId="0" borderId="1" xfId="0" applyBorder="1"/>
    <xf numFmtId="0" fontId="36" fillId="8" borderId="0" xfId="0" applyFont="1" applyFill="1" applyAlignment="1">
      <alignment horizontal="left" vertical="center" wrapText="1"/>
    </xf>
    <xf numFmtId="0" fontId="0" fillId="0" borderId="0" xfId="0"/>
    <xf numFmtId="0" fontId="14" fillId="0" borderId="0" xfId="0" applyFont="1" applyAlignment="1">
      <alignment wrapText="1"/>
    </xf>
    <xf numFmtId="0" fontId="14" fillId="3" borderId="0" xfId="0" applyFont="1" applyFill="1" applyAlignment="1">
      <alignment wrapText="1"/>
    </xf>
    <xf numFmtId="0" fontId="14" fillId="7" borderId="0" xfId="0" applyFont="1" applyFill="1" applyAlignment="1">
      <alignment wrapText="1"/>
    </xf>
    <xf numFmtId="0" fontId="32" fillId="4" borderId="1" xfId="0" applyFont="1" applyFill="1" applyBorder="1" applyAlignment="1">
      <alignment horizontal="left"/>
    </xf>
  </cellXfs>
  <cellStyles count="1">
    <cellStyle name="Normal" xfId="0" builtinId="0"/>
  </cellStyles>
  <dxfs count="11">
    <dxf>
      <font>
        <color rgb="FFCC0000"/>
      </font>
      <fill>
        <patternFill>
          <bgColor rgb="FFFCE4EC"/>
        </patternFill>
      </fill>
    </dxf>
    <dxf>
      <font>
        <color rgb="FF006600"/>
      </font>
      <fill>
        <patternFill>
          <bgColor rgb="FFE2EFDA"/>
        </patternFill>
      </fill>
    </dxf>
    <dxf>
      <font>
        <color rgb="FFCC0000"/>
      </font>
      <fill>
        <patternFill>
          <bgColor rgb="FFFCE4EC"/>
        </patternFill>
      </fill>
    </dxf>
    <dxf>
      <font>
        <color rgb="FF006600"/>
      </font>
      <fill>
        <patternFill>
          <bgColor rgb="FFE2EFDA"/>
        </patternFill>
      </fill>
    </dxf>
    <dxf>
      <font>
        <color rgb="FFCC0000"/>
      </font>
      <fill>
        <patternFill>
          <bgColor rgb="FFFCE4EC"/>
        </patternFill>
      </fill>
    </dxf>
    <dxf>
      <font>
        <color rgb="FF006600"/>
      </font>
      <fill>
        <patternFill>
          <bgColor rgb="FFE2EFDA"/>
        </patternFill>
      </fill>
    </dxf>
    <dxf>
      <font>
        <color rgb="FFCC0000"/>
      </font>
      <fill>
        <patternFill>
          <bgColor rgb="FFFCE4EC"/>
        </patternFill>
      </fill>
    </dxf>
    <dxf>
      <font>
        <color rgb="FF006600"/>
      </font>
      <fill>
        <patternFill>
          <bgColor rgb="FFE2EFDA"/>
        </patternFill>
      </fill>
    </dxf>
    <dxf>
      <font>
        <color rgb="FFE65100"/>
      </font>
    </dxf>
    <dxf>
      <font>
        <color rgb="FFC62828"/>
      </font>
    </dxf>
    <dxf>
      <font>
        <color rgb="FF2E7D32"/>
      </font>
    </dxf>
  </dxfs>
  <tableStyles count="0" defaultTableStyle="TableStyleMedium2" defaultPivotStyle="PivotStyleLight16"/>
  <colors>
    <indexedColors>
      <rgbColor rgb="FF000000"/>
      <rgbColor rgb="FFFFFFFF"/>
      <rgbColor rgb="FFFF0000"/>
      <rgbColor rgb="FF00E676"/>
      <rgbColor rgb="FF0000FF"/>
      <rgbColor rgb="FFFFFF00"/>
      <rgbColor rgb="FFF5F7FA"/>
      <rgbColor rgb="FF00DCFC"/>
      <rgbColor rgb="FFBC0000"/>
      <rgbColor rgb="FF026C02"/>
      <rgbColor rgb="FF15152A"/>
      <rgbColor rgb="FFE2EFDA"/>
      <rgbColor rgb="FF1B192B"/>
      <rgbColor rgb="FFECECEC"/>
      <rgbColor rgb="FFCBCCCC"/>
      <rgbColor rgb="FF808080"/>
      <rgbColor rgb="FFAB9CBB"/>
      <rgbColor rgb="FF7030A0"/>
      <rgbColor rgb="FFFFFBE6"/>
      <rgbColor rgb="FFE8F5E9"/>
      <rgbColor rgb="FF252547"/>
      <rgbColor rgb="FFFF8267"/>
      <rgbColor rgb="FF1B2A4A"/>
      <rgbColor rgb="FFD6DCE4"/>
      <rgbColor rgb="FF22224A"/>
      <rgbColor rgb="FFFAFAFA"/>
      <rgbColor rgb="FFFFD740"/>
      <rgbColor rgb="FFE9EDF4"/>
      <rgbColor rgb="FFFFFFF0"/>
      <rgbColor rgb="FFCC0202"/>
      <rgbColor rgb="FFF2F2F2"/>
      <rgbColor rgb="FF0E2841"/>
      <rgbColor rgb="FF00D4FF"/>
      <rgbColor rgb="FFE8EDF3"/>
      <rgbColor rgb="FFE1EFDA"/>
      <rgbColor rgb="FFFFF3CE"/>
      <rgbColor rgb="FF80F0CC"/>
      <rgbColor rgb="FFFF9183"/>
      <rgbColor rgb="FFD9D9D9"/>
      <rgbColor rgb="FFFFE082"/>
      <rgbColor rgb="FF4472C4"/>
      <rgbColor rgb="FFD6E4F0"/>
      <rgbColor rgb="FFD3AE3B"/>
      <rgbColor rgb="FFFDD530"/>
      <rgbColor rgb="FFF47F1D"/>
      <rgbColor rgb="FFFE522C"/>
      <rgbColor rgb="FF606273"/>
      <rgbColor rgb="FF8888AA"/>
      <rgbColor rgb="FF003366"/>
      <rgbColor rgb="FF70AD47"/>
      <rgbColor rgb="FF073517"/>
      <rgbColor rgb="FF1A2A1A"/>
      <rgbColor rgb="FFFFF2F2"/>
      <rgbColor rgb="FFFCE5ED"/>
      <rgbColor rgb="FF2F3F6B"/>
      <rgbColor rgb="FF3633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786E2E-E098-3945-93CB-C8FE82C1D6C8}">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G77"/>
  <sheetViews>
    <sheetView showGridLines="0" zoomScale="140" zoomScaleNormal="140" workbookViewId="0">
      <pane ySplit="2" topLeftCell="A3" activePane="bottomLeft" state="frozen"/>
      <selection pane="bottomLeft" activeCell="J27" sqref="J27"/>
    </sheetView>
  </sheetViews>
  <sheetFormatPr baseColWidth="10" defaultColWidth="11" defaultRowHeight="15.75" customHeight="1"/>
  <cols>
    <col min="1" max="1" width="1.33203125" style="2" customWidth="1"/>
    <col min="2" max="2" width="33.33203125" customWidth="1"/>
    <col min="3" max="3" width="44.5" customWidth="1"/>
    <col min="4" max="4" width="20" customWidth="1"/>
    <col min="5" max="5" width="24.83203125" customWidth="1"/>
    <col min="6" max="6" width="20" customWidth="1"/>
    <col min="7" max="7" width="1.33203125" style="2" customWidth="1"/>
  </cols>
  <sheetData>
    <row r="1" spans="1:6" ht="31.5" customHeight="1">
      <c r="B1" s="3" t="s">
        <v>46</v>
      </c>
      <c r="C1" s="4"/>
      <c r="D1" s="4"/>
      <c r="E1" s="4"/>
      <c r="F1" s="4"/>
    </row>
    <row r="2" spans="1:6" ht="31.5" customHeight="1">
      <c r="B2" s="5" t="s">
        <v>47</v>
      </c>
      <c r="C2" s="6"/>
      <c r="D2" s="6"/>
      <c r="E2" s="6"/>
      <c r="F2" s="6"/>
    </row>
    <row r="3" spans="1:6" ht="12" customHeight="1">
      <c r="A3" s="7"/>
      <c r="B3" s="8"/>
      <c r="C3" s="8"/>
      <c r="D3" s="8"/>
      <c r="E3" s="8"/>
      <c r="F3" s="8"/>
    </row>
    <row r="4" spans="1:6" ht="6" customHeight="1">
      <c r="A4" s="7"/>
      <c r="B4" s="9"/>
      <c r="C4" s="9"/>
      <c r="D4" s="9"/>
      <c r="E4" s="9"/>
      <c r="F4" s="9"/>
    </row>
    <row r="5" spans="1:6" ht="12" customHeight="1">
      <c r="A5" s="7"/>
      <c r="B5" s="8"/>
      <c r="C5" s="8"/>
      <c r="D5" s="8"/>
      <c r="E5" s="8"/>
      <c r="F5" s="8"/>
    </row>
    <row r="6" spans="1:6" ht="18" customHeight="1">
      <c r="A6" s="7"/>
      <c r="B6" s="10" t="s">
        <v>48</v>
      </c>
      <c r="C6" s="11"/>
      <c r="D6" s="11"/>
      <c r="E6" s="11"/>
      <c r="F6" s="11"/>
    </row>
    <row r="7" spans="1:6" ht="3.75" customHeight="1">
      <c r="A7" s="7"/>
      <c r="B7" s="11"/>
      <c r="C7" s="11"/>
      <c r="D7" s="11"/>
      <c r="E7" s="11"/>
      <c r="F7" s="11"/>
    </row>
    <row r="8" spans="1:6" ht="15.75" customHeight="1">
      <c r="A8" s="7"/>
      <c r="B8" s="12" t="str">
        <f>"Exit Equity Value ("&amp;TEXT(Assumptions!G165,"0.0")&amp;"x)"</f>
        <v>Exit Equity Value (5.0x)</v>
      </c>
      <c r="C8" s="12" t="s">
        <v>49</v>
      </c>
      <c r="D8" s="12" t="str">
        <f>"Equity MOIC (5-Yr, "&amp;TEXT(Assumptions!G165,"0.0")&amp;"x)"</f>
        <v>Equity MOIC (5-Yr, 5.0x)</v>
      </c>
      <c r="E8" s="12" t="s">
        <v>50</v>
      </c>
      <c r="F8" s="11"/>
    </row>
    <row r="9" spans="1:6" ht="27.75" customHeight="1">
      <c r="A9" s="7"/>
      <c r="B9" s="13" t="str">
        <f>TEXT('DCF &amp; Returns'!J73,"$#,##0\K")</f>
        <v>$23,406K</v>
      </c>
      <c r="C9" s="13" t="str">
        <f>TEXT('DCF &amp; Returns'!B28,"$#,##0\K")</f>
        <v>$16,198K</v>
      </c>
      <c r="D9" s="13" t="str">
        <f>TEXT('DCF &amp; Returns'!J84,"0.0\×")</f>
        <v>15.9×</v>
      </c>
      <c r="E9" s="14" t="str">
        <f>'Control Panel'!C7</f>
        <v>Base</v>
      </c>
      <c r="F9" s="11"/>
    </row>
    <row r="10" spans="1:6" ht="13.5" customHeight="1">
      <c r="A10" s="7"/>
      <c r="B10" s="15" t="str">
        <f>"WACC "&amp;TEXT(Assumptions!B11,"0.0%")&amp;" · TGR "&amp;TEXT(Assumptions!B12,"0.0%")&amp;" · Active scenario: "&amp;'Control Panel'!C7</f>
        <v>WACC 11.1% · TGR 2.5% · Active scenario: Base</v>
      </c>
      <c r="C10" s="15" t="str">
        <f>"$"&amp;TEXT('DCF &amp; Returns'!B50,"#,##0")&amp;"K equity invested · "&amp;TEXT(Assumptions!G165,"0.0")&amp;"× exit multiple (5-yr)"</f>
        <v>$1,500K equity invested · 5.0× exit multiple (5-yr)</v>
      </c>
      <c r="D10" s="15" t="str">
        <f>"Exit multiple: "&amp;TEXT(Assumptions!B165,"0.0")&amp;"× · "&amp;TEXT(Assumptions!B157*100,"0")&amp;"% probability weight"</f>
        <v>Exit multiple: 3.0× · 15% probability weight</v>
      </c>
      <c r="E10" s="16" t="str">
        <f>"Exit multiple: "&amp;TEXT(Assumptions!F165,"0.0")&amp;"× · "&amp;TEXT(Assumptions!F157*100,"0")&amp;"% probability weight"</f>
        <v>Exit multiple: 7.5× · 10% probability weight</v>
      </c>
      <c r="F10" s="11"/>
    </row>
    <row r="11" spans="1:6" ht="21.75" customHeight="1">
      <c r="A11" s="7"/>
      <c r="B11" s="12" t="s">
        <v>51</v>
      </c>
      <c r="C11" s="12" t="s">
        <v>52</v>
      </c>
      <c r="D11" s="12" t="s">
        <v>53</v>
      </c>
      <c r="E11" s="12" t="s">
        <v>54</v>
      </c>
      <c r="F11" s="11"/>
    </row>
    <row r="12" spans="1:6" ht="21.75" customHeight="1">
      <c r="A12" s="7"/>
      <c r="B12" s="322">
        <f>'DCF &amp; Returns'!B24</f>
        <v>18169.2</v>
      </c>
      <c r="C12" s="323">
        <f>'DCF &amp; Returns'!J84</f>
        <v>15.918844622996753</v>
      </c>
      <c r="D12" s="324">
        <f>Assumptions!B165*'DCF &amp; Returns'!J64-'DCF &amp; Returns'!J65</f>
        <v>14733.41164971632</v>
      </c>
      <c r="E12" s="325">
        <f>Assumptions!F165*'DCF &amp; Returns'!J64-'DCF &amp; Returns'!J65</f>
        <v>34245.744301812316</v>
      </c>
      <c r="F12" s="17"/>
    </row>
    <row r="13" spans="1:6" ht="15.75" customHeight="1">
      <c r="A13" s="7"/>
      <c r="B13" s="11"/>
      <c r="C13" s="11"/>
      <c r="D13" s="11"/>
      <c r="E13" s="11"/>
      <c r="F13" s="11"/>
    </row>
    <row r="14" spans="1:6" ht="18" customHeight="1">
      <c r="A14" s="7"/>
      <c r="B14" s="10" t="s">
        <v>55</v>
      </c>
      <c r="C14" s="11"/>
      <c r="D14" s="11"/>
      <c r="E14" s="11"/>
      <c r="F14" s="11"/>
    </row>
    <row r="15" spans="1:6" ht="3.75" customHeight="1">
      <c r="A15" s="7"/>
      <c r="B15" s="11"/>
      <c r="C15" s="11"/>
      <c r="D15" s="11"/>
      <c r="E15" s="11"/>
      <c r="F15" s="11"/>
    </row>
    <row r="16" spans="1:6" ht="18" customHeight="1">
      <c r="A16" s="7"/>
      <c r="B16" s="18" t="s">
        <v>56</v>
      </c>
      <c r="C16" s="18" t="s">
        <v>57</v>
      </c>
      <c r="D16" s="18" t="s">
        <v>58</v>
      </c>
      <c r="E16" s="18" t="s">
        <v>59</v>
      </c>
      <c r="F16" s="18" t="s">
        <v>60</v>
      </c>
    </row>
    <row r="17" spans="1:6" ht="16.5" customHeight="1">
      <c r="A17" s="7"/>
      <c r="B17" s="19" t="s">
        <v>61</v>
      </c>
      <c r="C17" s="20" t="s">
        <v>62</v>
      </c>
      <c r="D17" s="20" t="s">
        <v>63</v>
      </c>
      <c r="E17" s="19" t="s">
        <v>64</v>
      </c>
      <c r="F17" s="21" t="s">
        <v>65</v>
      </c>
    </row>
    <row r="18" spans="1:6" ht="16.5" customHeight="1">
      <c r="A18" s="7"/>
      <c r="B18" s="22"/>
      <c r="C18" s="23"/>
      <c r="D18" s="23"/>
      <c r="E18" s="22"/>
      <c r="F18" s="24"/>
    </row>
    <row r="19" spans="1:6" ht="16.5" customHeight="1">
      <c r="A19" s="7"/>
      <c r="B19" s="25" t="s">
        <v>66</v>
      </c>
      <c r="C19" s="26" t="s">
        <v>67</v>
      </c>
      <c r="D19" s="26" t="s">
        <v>68</v>
      </c>
      <c r="E19" s="25" t="s">
        <v>64</v>
      </c>
      <c r="F19" s="27" t="s">
        <v>65</v>
      </c>
    </row>
    <row r="20" spans="1:6" ht="16.5" customHeight="1">
      <c r="A20" s="7"/>
      <c r="B20" s="22"/>
      <c r="C20" s="23"/>
      <c r="D20" s="23"/>
      <c r="E20" s="22"/>
      <c r="F20" s="28"/>
    </row>
    <row r="21" spans="1:6" ht="16.5" customHeight="1">
      <c r="A21" s="7"/>
      <c r="B21" s="25" t="s">
        <v>69</v>
      </c>
      <c r="C21" s="26" t="s">
        <v>70</v>
      </c>
      <c r="D21" s="26" t="str">
        <f>"FY2026E: $"&amp;TEXT('Income Statement'!N3,"#,##0")&amp;"K → FY2030E: $"&amp;TEXT('Income Statement'!R3,"#,##0")&amp;"K"</f>
        <v>FY2026E: $8,365K → FY2030E: $16,689K</v>
      </c>
      <c r="E21" s="25" t="s">
        <v>64</v>
      </c>
      <c r="F21" s="29" t="s">
        <v>65</v>
      </c>
    </row>
    <row r="22" spans="1:6" ht="16.5" customHeight="1">
      <c r="A22" s="7"/>
      <c r="B22" s="22" t="s">
        <v>71</v>
      </c>
      <c r="C22" s="23" t="s">
        <v>72</v>
      </c>
      <c r="D22" s="23" t="str">
        <f>"FY2030E NI: $"&amp;TEXT('Income Statement'!R27,"#,##0")&amp;"K"</f>
        <v>FY2030E NI: $1,971K</v>
      </c>
      <c r="E22" s="22" t="s">
        <v>64</v>
      </c>
      <c r="F22" s="30" t="s">
        <v>65</v>
      </c>
    </row>
    <row r="23" spans="1:6" ht="16.5" customHeight="1">
      <c r="A23" s="7"/>
      <c r="B23" s="25" t="s">
        <v>73</v>
      </c>
      <c r="C23" s="26" t="s">
        <v>74</v>
      </c>
      <c r="D23" s="26" t="str">
        <f>"Total assets: $"&amp;TEXT('Balance Sheet'!N26,"#,##0")&amp;"K → $"&amp;TEXT('Balance Sheet'!R26,"#,##0")&amp;"K"</f>
        <v>Total assets: $7,365K → $8,067K</v>
      </c>
      <c r="E23" s="25" t="s">
        <v>64</v>
      </c>
      <c r="F23" s="29" t="s">
        <v>65</v>
      </c>
    </row>
    <row r="24" spans="1:6" ht="16.5" customHeight="1">
      <c r="A24" s="7"/>
      <c r="B24" s="22" t="s">
        <v>75</v>
      </c>
      <c r="C24" s="23" t="s">
        <v>76</v>
      </c>
      <c r="D24" s="23" t="s">
        <v>77</v>
      </c>
      <c r="E24" s="22" t="s">
        <v>64</v>
      </c>
      <c r="F24" s="30" t="s">
        <v>65</v>
      </c>
    </row>
    <row r="25" spans="1:6" ht="16.5" customHeight="1">
      <c r="A25" s="7"/>
      <c r="B25" s="25"/>
      <c r="C25" s="26"/>
      <c r="D25" s="26"/>
      <c r="E25" s="25"/>
      <c r="F25" s="31"/>
    </row>
    <row r="26" spans="1:6" ht="16.5" customHeight="1">
      <c r="A26" s="7"/>
      <c r="B26" s="22"/>
      <c r="C26" s="23"/>
      <c r="D26" s="23"/>
      <c r="E26" s="22"/>
      <c r="F26" s="32"/>
    </row>
    <row r="27" spans="1:6" ht="16.5" customHeight="1">
      <c r="A27" s="7"/>
      <c r="B27" s="25"/>
      <c r="C27" s="26"/>
      <c r="D27" s="26"/>
      <c r="E27" s="25"/>
      <c r="F27" s="33"/>
    </row>
    <row r="28" spans="1:6" ht="16.5" customHeight="1">
      <c r="A28" s="7"/>
      <c r="B28" s="22" t="s">
        <v>78</v>
      </c>
      <c r="C28" s="23" t="s">
        <v>79</v>
      </c>
      <c r="D28" s="23" t="str">
        <f>"Total debt: $"&amp;TEXT('Debt Schedule'!N68,"#,##0")&amp;"K → $"&amp;TEXT('Debt Schedule'!R68,"#,##0")&amp;"K (FY2030)"</f>
        <v>Total debt: $4,602K → $477K (FY2030)</v>
      </c>
      <c r="E28" s="22" t="s">
        <v>64</v>
      </c>
      <c r="F28" s="34" t="s">
        <v>65</v>
      </c>
    </row>
    <row r="29" spans="1:6" ht="16.5" customHeight="1">
      <c r="A29" s="7"/>
      <c r="B29" s="35"/>
      <c r="C29" s="36"/>
      <c r="D29" s="36"/>
      <c r="E29" s="35"/>
      <c r="F29" s="37"/>
    </row>
    <row r="30" spans="1:6" ht="16.5" customHeight="1">
      <c r="A30" s="7"/>
      <c r="B30" s="38" t="s">
        <v>80</v>
      </c>
      <c r="C30" s="39" t="s">
        <v>81</v>
      </c>
      <c r="D30" s="39" t="str">
        <f>"EV: $"&amp;TEXT('DCF &amp; Returns'!B24,"#,##0")&amp;"K · Equity: $"&amp;TEXT('DCF &amp; Returns'!B28,"#,##0")&amp;"K (cross-ref)"</f>
        <v>EV: $18,169K · Equity: $16,198K (cross-ref)</v>
      </c>
      <c r="E30" s="38" t="s">
        <v>64</v>
      </c>
      <c r="F30" s="40" t="s">
        <v>65</v>
      </c>
    </row>
    <row r="31" spans="1:6" ht="7.5" customHeight="1">
      <c r="A31" s="7"/>
      <c r="B31" s="11"/>
      <c r="C31" s="11"/>
      <c r="D31" s="11"/>
      <c r="E31" s="11"/>
      <c r="F31" s="11"/>
    </row>
    <row r="32" spans="1:6" ht="3.75" customHeight="1">
      <c r="A32" s="7"/>
      <c r="B32" s="17"/>
      <c r="C32" s="17"/>
      <c r="D32" s="17"/>
      <c r="E32" s="17"/>
      <c r="F32" s="17"/>
    </row>
    <row r="33" spans="1:6" ht="12" customHeight="1">
      <c r="A33" s="7"/>
      <c r="B33" s="11"/>
      <c r="C33" s="11"/>
      <c r="D33" s="11"/>
      <c r="E33" s="11"/>
      <c r="F33" s="11"/>
    </row>
    <row r="34" spans="1:6" ht="18" customHeight="1">
      <c r="A34" s="7"/>
      <c r="B34" s="10" t="s">
        <v>82</v>
      </c>
      <c r="C34" s="11"/>
      <c r="D34" s="11"/>
      <c r="E34" s="11"/>
      <c r="F34" s="11"/>
    </row>
    <row r="35" spans="1:6" ht="3.75" customHeight="1">
      <c r="A35" s="7"/>
      <c r="B35" s="11"/>
      <c r="C35" s="11"/>
      <c r="D35" s="11"/>
      <c r="E35" s="11"/>
      <c r="F35" s="11"/>
    </row>
    <row r="36" spans="1:6" ht="15.75" customHeight="1">
      <c r="A36" s="7"/>
      <c r="B36" s="41" t="s">
        <v>83</v>
      </c>
      <c r="C36" s="42" t="s">
        <v>84</v>
      </c>
      <c r="D36" s="41" t="s">
        <v>85</v>
      </c>
      <c r="E36" s="19" t="s">
        <v>86</v>
      </c>
      <c r="F36" s="11"/>
    </row>
    <row r="37" spans="1:6" ht="15.75" customHeight="1">
      <c r="A37" s="7"/>
      <c r="B37" s="43" t="s">
        <v>87</v>
      </c>
      <c r="C37" s="44" t="s">
        <v>88</v>
      </c>
      <c r="D37" s="43" t="s">
        <v>89</v>
      </c>
      <c r="E37" s="45" t="str">
        <f>TEXT(Assumptions!G165,"0.0")&amp;"x EV/EBITDA (scenario-dependent)"</f>
        <v>5.0x EV/EBITDA (scenario-dependent)</v>
      </c>
      <c r="F37" s="11"/>
    </row>
    <row r="38" spans="1:6" ht="15.75" customHeight="1">
      <c r="A38" s="7"/>
      <c r="B38" s="41" t="s">
        <v>90</v>
      </c>
      <c r="C38" s="46">
        <f>Assumptions!B11</f>
        <v>0.11147818387676381</v>
      </c>
      <c r="D38" s="41" t="s">
        <v>91</v>
      </c>
      <c r="E38" s="19" t="str">
        <f>"$"&amp;TEXT(Assumptions!B79,"#,##0")&amp;"K ("&amp;TEXT(Assumptions!B79/Assumptions!B81,"0%")&amp;" of $"&amp;TEXT(Assumptions!B81,"#,##0")&amp;"K total)"</f>
        <v>$1,500K (50% of $3,000K total)</v>
      </c>
      <c r="F38" s="11"/>
    </row>
    <row r="39" spans="1:6" ht="15.75" customHeight="1">
      <c r="A39" s="7"/>
      <c r="B39" s="43" t="s">
        <v>92</v>
      </c>
      <c r="C39" s="47">
        <f>Assumptions!B12</f>
        <v>2.5000000000000001E-2</v>
      </c>
      <c r="D39" s="43" t="s">
        <v>93</v>
      </c>
      <c r="E39" s="45" t="str">
        <f>"$"&amp;TEXT(Assumptions!B81,"#,##0")&amp;"K (debt + equity)"</f>
        <v>$3,000K (debt + equity)</v>
      </c>
      <c r="F39" s="11"/>
    </row>
    <row r="40" spans="1:6" ht="15.75" customHeight="1">
      <c r="A40" s="7"/>
      <c r="B40" s="41" t="s">
        <v>94</v>
      </c>
      <c r="C40" s="46">
        <f>('Income Statement'!R3/'Income Statement'!N3)^(1/5)-1</f>
        <v>0.14812617305548414</v>
      </c>
      <c r="D40" s="41" t="s">
        <v>95</v>
      </c>
      <c r="E40" s="19" t="s">
        <v>96</v>
      </c>
      <c r="F40" s="11"/>
    </row>
    <row r="41" spans="1:6" ht="15.75" customHeight="1">
      <c r="A41" s="7"/>
      <c r="B41" s="43" t="s">
        <v>97</v>
      </c>
      <c r="C41" s="44" t="s">
        <v>98</v>
      </c>
      <c r="D41" s="43" t="s">
        <v>99</v>
      </c>
      <c r="E41" s="45" t="str">
        <f>'Control Panel'!C7&amp;" (Control Panel!C7)"</f>
        <v>Base (Control Panel!C7)</v>
      </c>
      <c r="F41" s="11"/>
    </row>
    <row r="42" spans="1:6" ht="15.75" customHeight="1">
      <c r="A42" s="7"/>
      <c r="B42" s="41" t="s">
        <v>100</v>
      </c>
      <c r="C42" s="42" t="str">
        <f>TEXT('Income Statement'!R3,"$#,##0")&amp;"K"</f>
        <v>$16,689K</v>
      </c>
      <c r="D42" s="41" t="s">
        <v>101</v>
      </c>
      <c r="E42" s="19" t="s">
        <v>102</v>
      </c>
      <c r="F42" s="11"/>
    </row>
    <row r="43" spans="1:6" ht="15.75" customHeight="1">
      <c r="A43" s="7"/>
      <c r="B43" s="43" t="s">
        <v>103</v>
      </c>
      <c r="C43" s="47">
        <f>'Income Statement'!R30/'Income Statement'!R3</f>
        <v>0.25981670471846441</v>
      </c>
      <c r="D43" s="43" t="s">
        <v>104</v>
      </c>
      <c r="E43" s="45" t="str">
        <f>TEXT(Assumptions!B98,"0.0")&amp;"×"</f>
        <v>5.5×</v>
      </c>
      <c r="F43" s="11"/>
    </row>
    <row r="44" spans="1:6" ht="7.5" customHeight="1">
      <c r="A44" s="7"/>
      <c r="B44" s="11"/>
      <c r="C44" s="11"/>
      <c r="D44" s="11"/>
      <c r="E44" s="11"/>
      <c r="F44" s="11"/>
    </row>
    <row r="45" spans="1:6" ht="3.75" customHeight="1">
      <c r="A45" s="7"/>
      <c r="B45" s="17"/>
      <c r="C45" s="17"/>
      <c r="D45" s="17"/>
      <c r="E45" s="17"/>
      <c r="F45" s="17"/>
    </row>
    <row r="46" spans="1:6" ht="12" customHeight="1">
      <c r="A46" s="7"/>
      <c r="B46" s="11"/>
      <c r="C46" s="11"/>
      <c r="D46" s="11"/>
      <c r="E46" s="11"/>
      <c r="F46" s="11"/>
    </row>
    <row r="47" spans="1:6" ht="18" customHeight="1">
      <c r="A47" s="7"/>
      <c r="B47" s="10" t="s">
        <v>105</v>
      </c>
      <c r="C47" s="11"/>
      <c r="D47" s="11"/>
      <c r="E47" s="11"/>
      <c r="F47" s="11"/>
    </row>
    <row r="48" spans="1:6" ht="3.75" customHeight="1">
      <c r="A48" s="7"/>
      <c r="B48" s="11"/>
      <c r="C48" s="11"/>
      <c r="D48" s="11"/>
      <c r="E48" s="11"/>
      <c r="F48" s="11"/>
    </row>
    <row r="49" spans="1:6" ht="15.75" customHeight="1">
      <c r="A49" s="7"/>
      <c r="B49" s="48" t="s">
        <v>106</v>
      </c>
      <c r="C49" s="43" t="s">
        <v>107</v>
      </c>
      <c r="D49" s="11"/>
      <c r="E49" s="11"/>
      <c r="F49" s="11"/>
    </row>
    <row r="50" spans="1:6" ht="15.75" customHeight="1">
      <c r="A50" s="7"/>
      <c r="B50" s="49" t="s">
        <v>108</v>
      </c>
      <c r="C50" s="43" t="s">
        <v>109</v>
      </c>
      <c r="D50" s="11"/>
      <c r="E50" s="11"/>
    </row>
    <row r="51" spans="1:6" ht="15.75" customHeight="1">
      <c r="A51" s="7"/>
      <c r="B51" s="50" t="s">
        <v>110</v>
      </c>
      <c r="C51" s="43" t="s">
        <v>111</v>
      </c>
      <c r="D51" s="8"/>
      <c r="E51" s="8"/>
    </row>
    <row r="52" spans="1:6" ht="15.75" customHeight="1">
      <c r="A52" s="7"/>
      <c r="B52" s="51" t="s">
        <v>112</v>
      </c>
      <c r="C52" s="43" t="s">
        <v>113</v>
      </c>
      <c r="D52" s="8"/>
      <c r="E52" s="8"/>
    </row>
    <row r="53" spans="1:6" ht="7.5" customHeight="1">
      <c r="A53" s="7"/>
      <c r="B53" s="8"/>
      <c r="C53" s="8"/>
      <c r="D53" s="8"/>
      <c r="E53" s="8"/>
    </row>
    <row r="54" spans="1:6" ht="3.75" customHeight="1">
      <c r="A54" s="7"/>
      <c r="B54" s="52"/>
      <c r="C54" s="52"/>
      <c r="D54" s="52"/>
      <c r="E54" s="52"/>
    </row>
    <row r="55" spans="1:6" ht="12" customHeight="1">
      <c r="A55" s="7"/>
      <c r="B55" s="8"/>
      <c r="C55" s="8"/>
      <c r="D55" s="8"/>
      <c r="E55" s="8"/>
    </row>
    <row r="56" spans="1:6" ht="18" customHeight="1">
      <c r="A56" s="7"/>
      <c r="B56" s="10" t="s">
        <v>114</v>
      </c>
      <c r="C56" s="8"/>
      <c r="D56" s="8"/>
      <c r="E56" s="8"/>
      <c r="F56" s="8"/>
    </row>
    <row r="57" spans="1:6" ht="3.75" customHeight="1">
      <c r="A57" s="7"/>
      <c r="B57" s="8"/>
      <c r="C57" s="8"/>
      <c r="D57" s="8"/>
      <c r="E57" s="8"/>
      <c r="F57" s="8"/>
    </row>
    <row r="58" spans="1:6" ht="15.75" customHeight="1">
      <c r="A58" s="7"/>
      <c r="B58" s="53" t="s">
        <v>65</v>
      </c>
      <c r="C58" s="19" t="s">
        <v>115</v>
      </c>
      <c r="D58" s="41" t="s">
        <v>116</v>
      </c>
      <c r="E58" s="54" t="s">
        <v>117</v>
      </c>
      <c r="F58" s="8"/>
    </row>
    <row r="59" spans="1:6" ht="15.75" customHeight="1">
      <c r="A59" s="7"/>
      <c r="B59" s="55" t="s">
        <v>65</v>
      </c>
      <c r="C59" s="38" t="s">
        <v>118</v>
      </c>
      <c r="D59" s="56" t="s">
        <v>119</v>
      </c>
      <c r="E59" s="57"/>
      <c r="F59" s="8"/>
    </row>
    <row r="60" spans="1:6" ht="15.75" customHeight="1">
      <c r="A60" s="7"/>
      <c r="B60" s="58" t="s">
        <v>65</v>
      </c>
      <c r="C60" s="19" t="s">
        <v>120</v>
      </c>
      <c r="D60" s="41" t="s">
        <v>121</v>
      </c>
      <c r="E60" s="54" t="s">
        <v>122</v>
      </c>
      <c r="F60" s="8"/>
    </row>
    <row r="61" spans="1:6" ht="15.75" customHeight="1">
      <c r="A61" s="7"/>
      <c r="B61" s="59" t="s">
        <v>65</v>
      </c>
      <c r="C61" s="38" t="s">
        <v>123</v>
      </c>
      <c r="D61" s="56" t="s">
        <v>124</v>
      </c>
      <c r="E61" s="57"/>
      <c r="F61" s="8"/>
    </row>
    <row r="62" spans="1:6" ht="15.75" customHeight="1">
      <c r="A62" s="7"/>
      <c r="B62" s="60" t="s">
        <v>65</v>
      </c>
      <c r="C62" s="19" t="s">
        <v>125</v>
      </c>
      <c r="D62" s="41" t="s">
        <v>126</v>
      </c>
      <c r="E62" s="54" t="s">
        <v>78</v>
      </c>
      <c r="F62" s="8"/>
    </row>
    <row r="63" spans="1:6" ht="15.75" customHeight="1">
      <c r="A63" s="7"/>
      <c r="B63" s="61" t="s">
        <v>65</v>
      </c>
      <c r="C63" s="38" t="s">
        <v>127</v>
      </c>
      <c r="D63" s="56" t="s">
        <v>128</v>
      </c>
      <c r="E63" s="57" t="s">
        <v>80</v>
      </c>
      <c r="F63" s="8"/>
    </row>
    <row r="64" spans="1:6" ht="15.75" customHeight="1">
      <c r="A64" s="7"/>
      <c r="B64" s="2"/>
      <c r="C64" s="2"/>
      <c r="D64" s="2"/>
      <c r="E64" s="2"/>
      <c r="F64" s="7"/>
    </row>
    <row r="65" spans="1:6" ht="15.75" customHeight="1">
      <c r="A65" s="7"/>
      <c r="B65" s="2"/>
      <c r="C65" s="2"/>
      <c r="D65" s="2"/>
      <c r="E65" s="2"/>
      <c r="F65" s="7"/>
    </row>
    <row r="66" spans="1:6" ht="12" customHeight="1">
      <c r="A66" s="7"/>
      <c r="B66" s="8"/>
      <c r="C66" s="8"/>
      <c r="D66" s="8"/>
      <c r="E66" s="8"/>
      <c r="F66" s="8"/>
    </row>
    <row r="67" spans="1:6" ht="18" customHeight="1">
      <c r="A67" s="7"/>
      <c r="B67" s="10" t="s">
        <v>129</v>
      </c>
      <c r="C67" s="8"/>
      <c r="D67" s="8"/>
      <c r="E67" s="8"/>
      <c r="F67" s="8"/>
    </row>
    <row r="68" spans="1:6" ht="3.75" customHeight="1">
      <c r="A68" s="7"/>
      <c r="B68" s="8"/>
      <c r="C68" s="8"/>
      <c r="D68" s="8"/>
      <c r="E68" s="8"/>
      <c r="F68" s="8"/>
    </row>
    <row r="69" spans="1:6" ht="26" customHeight="1">
      <c r="A69" s="7"/>
      <c r="B69" s="45">
        <v>1</v>
      </c>
      <c r="C69" s="550" t="s">
        <v>130</v>
      </c>
      <c r="D69" s="548"/>
      <c r="E69" s="548"/>
      <c r="F69" s="548"/>
    </row>
    <row r="70" spans="1:6" ht="26" customHeight="1">
      <c r="A70" s="7"/>
      <c r="B70" s="45">
        <v>2</v>
      </c>
      <c r="C70" s="549" t="str">
        <f>"FY2026 Debt/EBITDA of "&amp;TEXT('Debt Schedule'!N75,"0.0")&amp;"× vs 3.5× max. Modified FCCR = "&amp;TEXT('Debt Schedule'!N81,"0.00")&amp;"×. Deleverages to "&amp;TEXT('Debt Schedule'!R75,"0.00")&amp;"× by FY2030. 24-month covenant holiday enforced (months 1–24 show HOLIDAY)."</f>
        <v>FY2026 Debt/EBITDA of 4.0× vs 3.5× max. Modified FCCR = 0.92×. Deleverages to 0.11× by FY2030. 24-month covenant holiday enforced (months 1–24 show HOLIDAY).</v>
      </c>
      <c r="D70" s="548"/>
      <c r="E70" s="548"/>
      <c r="F70" s="548"/>
    </row>
    <row r="71" spans="1:6" ht="26" customHeight="1">
      <c r="A71" s="7"/>
      <c r="B71" s="62">
        <v>3</v>
      </c>
      <c r="C71" s="551" t="s">
        <v>131</v>
      </c>
      <c r="D71" s="548"/>
      <c r="E71" s="548"/>
      <c r="F71" s="548"/>
    </row>
    <row r="72" spans="1:6" ht="26" customHeight="1">
      <c r="A72" s="7"/>
      <c r="B72" s="45">
        <v>4</v>
      </c>
      <c r="C72" s="549" t="s">
        <v>132</v>
      </c>
      <c r="D72" s="548"/>
      <c r="E72" s="548"/>
      <c r="F72" s="548"/>
    </row>
    <row r="73" spans="1:6" ht="51.75" customHeight="1">
      <c r="A73" s="7"/>
      <c r="B73" s="45"/>
      <c r="C73" s="549"/>
      <c r="D73" s="548"/>
      <c r="E73" s="548"/>
      <c r="F73" s="548"/>
    </row>
    <row r="74" spans="1:6" ht="7.5" customHeight="1">
      <c r="A74" s="7"/>
      <c r="B74" s="8"/>
      <c r="C74" s="8"/>
      <c r="D74" s="8"/>
      <c r="E74" s="8"/>
      <c r="F74" s="8"/>
    </row>
    <row r="75" spans="1:6" ht="3.75" customHeight="1">
      <c r="A75" s="7"/>
      <c r="B75" s="63"/>
      <c r="C75" s="63"/>
      <c r="D75" s="63"/>
      <c r="E75" s="63"/>
      <c r="F75" s="63"/>
    </row>
    <row r="76" spans="1:6" ht="7.5" customHeight="1">
      <c r="A76" s="7"/>
      <c r="B76" s="8"/>
      <c r="C76" s="8"/>
      <c r="D76" s="8"/>
      <c r="E76" s="8"/>
      <c r="F76" s="8"/>
    </row>
    <row r="77" spans="1:6" ht="15.75" customHeight="1">
      <c r="A77" s="7"/>
      <c r="B77" s="15" t="s">
        <v>133</v>
      </c>
      <c r="C77" s="8"/>
      <c r="D77" s="8"/>
      <c r="E77" s="8"/>
      <c r="F77" s="8"/>
    </row>
  </sheetData>
  <mergeCells count="5">
    <mergeCell ref="C70:F70"/>
    <mergeCell ref="C69:F69"/>
    <mergeCell ref="C73:F73"/>
    <mergeCell ref="C72:F72"/>
    <mergeCell ref="C71:F71"/>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O230"/>
  <sheetViews>
    <sheetView showGridLines="0" zoomScale="115" zoomScaleNormal="115" workbookViewId="0">
      <pane xSplit="1" ySplit="2" topLeftCell="B4" activePane="bottomRight" state="frozen"/>
      <selection pane="topRight"/>
      <selection pane="bottomLeft"/>
      <selection pane="bottomRight" activeCell="F16" sqref="F13:F16"/>
    </sheetView>
  </sheetViews>
  <sheetFormatPr baseColWidth="10" defaultColWidth="11" defaultRowHeight="15.75" customHeight="1" outlineLevelCol="4"/>
  <cols>
    <col min="1" max="1" width="36.6640625" customWidth="1"/>
    <col min="2" max="2" width="12.5" customWidth="1"/>
    <col min="3" max="3" width="23.33203125" customWidth="1"/>
    <col min="4" max="5" width="12.5" customWidth="1"/>
    <col min="6" max="6" width="46.5" customWidth="1" outlineLevel="4"/>
    <col min="7" max="7" width="12.5" customWidth="1"/>
    <col min="8" max="8" width="44.6640625" customWidth="1"/>
    <col min="9" max="9" width="43" customWidth="1"/>
    <col min="10" max="15" width="12.5" customWidth="1"/>
  </cols>
  <sheetData>
    <row r="1" spans="1:15" ht="31.5" customHeight="1">
      <c r="A1" s="545" t="s">
        <v>134</v>
      </c>
      <c r="B1" s="546"/>
      <c r="C1" s="546"/>
      <c r="D1" s="546"/>
      <c r="E1" s="546"/>
      <c r="F1" s="546"/>
      <c r="G1" s="546"/>
      <c r="H1" s="546"/>
      <c r="I1" s="546"/>
      <c r="J1" s="546"/>
      <c r="K1" s="546"/>
      <c r="L1" s="546"/>
      <c r="M1" s="546"/>
      <c r="N1" s="546"/>
      <c r="O1" s="546"/>
    </row>
    <row r="2" spans="1:15" ht="6.75" customHeight="1">
      <c r="A2" s="7"/>
      <c r="B2" s="7"/>
      <c r="C2" s="7"/>
      <c r="D2" s="7"/>
      <c r="E2" s="7"/>
      <c r="F2" s="7"/>
      <c r="G2" s="7"/>
      <c r="H2" s="7"/>
      <c r="I2" s="7"/>
      <c r="J2" s="8"/>
      <c r="K2" s="8"/>
      <c r="L2" s="8"/>
      <c r="M2" s="8"/>
      <c r="N2" s="8"/>
      <c r="O2" s="8"/>
    </row>
    <row r="3" spans="1:15" ht="21.75" customHeight="1">
      <c r="A3" s="64" t="s">
        <v>135</v>
      </c>
      <c r="B3" s="64"/>
      <c r="C3" s="64"/>
      <c r="D3" s="64"/>
      <c r="E3" s="64"/>
      <c r="F3" s="64"/>
      <c r="G3" s="64"/>
      <c r="H3" s="64"/>
      <c r="I3" s="64"/>
      <c r="J3" s="8"/>
      <c r="K3" s="8"/>
      <c r="L3" s="8"/>
      <c r="M3" s="8"/>
      <c r="N3" s="8"/>
      <c r="O3" s="8"/>
    </row>
    <row r="4" spans="1:15" ht="15.75" customHeight="1">
      <c r="A4" s="65" t="s">
        <v>136</v>
      </c>
      <c r="B4" s="362">
        <v>46023</v>
      </c>
      <c r="C4" s="8"/>
      <c r="D4" s="8"/>
      <c r="E4" s="8"/>
      <c r="F4" s="8"/>
      <c r="G4" s="8"/>
      <c r="H4" s="8"/>
      <c r="I4" s="8"/>
      <c r="J4" s="8"/>
      <c r="K4" s="8"/>
      <c r="L4" s="8"/>
      <c r="M4" s="8"/>
      <c r="N4" s="8"/>
      <c r="O4" s="8"/>
    </row>
    <row r="5" spans="1:15" ht="15.75" customHeight="1">
      <c r="A5" s="65" t="s">
        <v>137</v>
      </c>
      <c r="B5" s="363">
        <v>5</v>
      </c>
      <c r="C5" s="8"/>
      <c r="D5" s="8"/>
      <c r="E5" s="8"/>
      <c r="F5" s="8"/>
      <c r="G5" s="8"/>
      <c r="H5" s="8"/>
      <c r="I5" s="8"/>
      <c r="J5" s="8"/>
      <c r="K5" s="8"/>
      <c r="L5" s="8"/>
      <c r="M5" s="8"/>
      <c r="N5" s="8"/>
      <c r="O5" s="8"/>
    </row>
    <row r="6" spans="1:15" ht="15.75" customHeight="1">
      <c r="A6" s="65" t="s">
        <v>138</v>
      </c>
      <c r="B6" s="364" t="s">
        <v>88</v>
      </c>
      <c r="C6" s="8"/>
      <c r="D6" s="8"/>
      <c r="E6" s="8"/>
      <c r="F6" s="8"/>
      <c r="G6" s="8"/>
      <c r="H6" s="8"/>
      <c r="I6" s="8"/>
      <c r="J6" s="8"/>
      <c r="K6" s="8"/>
      <c r="L6" s="8"/>
      <c r="M6" s="8"/>
      <c r="N6" s="8"/>
      <c r="O6" s="8"/>
    </row>
    <row r="7" spans="1:15" ht="15.75" customHeight="1">
      <c r="A7" s="65" t="s">
        <v>139</v>
      </c>
      <c r="B7" s="66" t="s">
        <v>140</v>
      </c>
      <c r="C7" s="8"/>
      <c r="D7" s="8"/>
      <c r="E7" s="8"/>
      <c r="F7" s="8"/>
      <c r="G7" s="8"/>
      <c r="H7" s="8"/>
      <c r="I7" s="8"/>
      <c r="J7" s="8"/>
      <c r="K7" s="8"/>
      <c r="L7" s="8"/>
      <c r="M7" s="8"/>
      <c r="N7" s="8"/>
      <c r="O7" s="8"/>
    </row>
    <row r="8" spans="1:15" ht="15.75" customHeight="1">
      <c r="A8" s="65" t="s">
        <v>141</v>
      </c>
      <c r="B8" s="66" t="s">
        <v>142</v>
      </c>
      <c r="C8" s="8"/>
      <c r="D8" s="8"/>
      <c r="E8" s="8"/>
      <c r="F8" s="8"/>
      <c r="G8" s="8"/>
      <c r="H8" s="8"/>
      <c r="I8" s="8"/>
      <c r="J8" s="8"/>
      <c r="K8" s="8"/>
      <c r="L8" s="8"/>
      <c r="M8" s="8"/>
      <c r="N8" s="8"/>
      <c r="O8" s="8"/>
    </row>
    <row r="9" spans="1:15" ht="18.75" customHeight="1">
      <c r="A9" s="39"/>
      <c r="B9" s="67"/>
      <c r="C9" s="7"/>
      <c r="D9" s="16" t="s">
        <v>143</v>
      </c>
      <c r="E9" s="7"/>
      <c r="F9" s="7"/>
      <c r="G9" s="7"/>
      <c r="H9" s="7"/>
      <c r="I9" s="7"/>
      <c r="J9" s="8"/>
      <c r="K9" s="8"/>
      <c r="L9" s="8"/>
      <c r="M9" s="8"/>
      <c r="N9" s="8"/>
      <c r="O9" s="8"/>
    </row>
    <row r="10" spans="1:15" ht="10.5" customHeight="1">
      <c r="A10" s="7"/>
      <c r="B10" s="7"/>
      <c r="C10" s="7"/>
      <c r="D10" s="7"/>
      <c r="E10" s="7"/>
      <c r="F10" s="7"/>
      <c r="G10" s="7"/>
      <c r="H10" s="7"/>
      <c r="I10" s="7"/>
      <c r="J10" s="8"/>
      <c r="K10" s="8"/>
      <c r="L10" s="8"/>
      <c r="M10" s="8"/>
      <c r="N10" s="8"/>
      <c r="O10" s="8"/>
    </row>
    <row r="11" spans="1:15" ht="15.75" customHeight="1">
      <c r="A11" s="65" t="s">
        <v>90</v>
      </c>
      <c r="B11" s="365">
        <f>IF($B$205="Convergence",B219,0.12)</f>
        <v>0.11147818387676381</v>
      </c>
      <c r="C11" s="8"/>
      <c r="D11" s="8"/>
      <c r="E11" s="8"/>
      <c r="F11" s="8"/>
      <c r="G11" s="8"/>
      <c r="H11" s="8"/>
      <c r="I11" s="8"/>
      <c r="J11" s="8"/>
      <c r="K11" s="8"/>
      <c r="L11" s="8"/>
      <c r="M11" s="8"/>
      <c r="N11" s="8"/>
      <c r="O11" s="8"/>
    </row>
    <row r="12" spans="1:15" ht="15.75" customHeight="1">
      <c r="A12" s="65" t="s">
        <v>144</v>
      </c>
      <c r="B12" s="365">
        <f>G159</f>
        <v>2.5000000000000001E-2</v>
      </c>
      <c r="C12" s="8"/>
      <c r="D12" s="8"/>
      <c r="E12" s="8"/>
      <c r="F12" s="8"/>
      <c r="G12" s="8"/>
      <c r="H12" s="8"/>
      <c r="I12" s="8"/>
      <c r="J12" s="8"/>
      <c r="K12" s="8"/>
      <c r="L12" s="8"/>
      <c r="M12" s="8"/>
      <c r="N12" s="8"/>
      <c r="O12" s="8"/>
    </row>
    <row r="13" spans="1:15" ht="15.75" customHeight="1">
      <c r="A13" s="65" t="s">
        <v>145</v>
      </c>
      <c r="B13" s="365">
        <v>0.31</v>
      </c>
      <c r="C13" s="8"/>
      <c r="D13" s="8"/>
      <c r="E13" s="8"/>
      <c r="F13" s="8"/>
      <c r="G13" s="8"/>
      <c r="H13" s="8"/>
      <c r="I13" s="8"/>
      <c r="J13" s="8"/>
      <c r="K13" s="8"/>
      <c r="L13" s="8"/>
      <c r="M13" s="8"/>
      <c r="N13" s="8"/>
      <c r="O13" s="8"/>
    </row>
    <row r="14" spans="1:15" ht="6" customHeight="1">
      <c r="A14" s="7"/>
      <c r="B14" s="7"/>
      <c r="C14" s="7"/>
      <c r="D14" s="7"/>
      <c r="E14" s="7"/>
      <c r="F14" s="7"/>
      <c r="G14" s="7"/>
      <c r="H14" s="7"/>
      <c r="I14" s="7"/>
      <c r="J14" s="8"/>
      <c r="K14" s="8"/>
      <c r="L14" s="8"/>
      <c r="M14" s="8"/>
      <c r="N14" s="8"/>
      <c r="O14" s="8"/>
    </row>
    <row r="15" spans="1:15" ht="15.75" customHeight="1">
      <c r="A15" s="65" t="s">
        <v>146</v>
      </c>
      <c r="B15" s="365">
        <v>0.22</v>
      </c>
      <c r="C15" s="8"/>
      <c r="D15" s="8"/>
      <c r="E15" s="8"/>
      <c r="F15" s="8"/>
      <c r="G15" s="8"/>
      <c r="H15" s="8"/>
      <c r="I15" s="8"/>
      <c r="J15" s="8"/>
      <c r="K15" s="8"/>
      <c r="L15" s="8"/>
      <c r="M15" s="8"/>
      <c r="N15" s="8"/>
      <c r="O15" s="8"/>
    </row>
    <row r="16" spans="1:15" ht="15.75" customHeight="1">
      <c r="A16" s="65" t="s">
        <v>147</v>
      </c>
      <c r="B16" s="366">
        <v>0.22</v>
      </c>
      <c r="C16" s="8"/>
      <c r="D16" s="8"/>
      <c r="E16" s="8"/>
      <c r="F16" s="8"/>
      <c r="G16" s="8"/>
      <c r="H16" s="8"/>
      <c r="I16" s="8"/>
      <c r="J16" s="8"/>
      <c r="K16" s="8"/>
      <c r="L16" s="8"/>
      <c r="M16" s="8"/>
      <c r="N16" s="8"/>
      <c r="O16" s="8"/>
    </row>
    <row r="17" spans="1:15" ht="15.75" customHeight="1">
      <c r="A17" s="65" t="s">
        <v>148</v>
      </c>
      <c r="B17" s="365">
        <f>G161</f>
        <v>0.4</v>
      </c>
      <c r="C17" s="8"/>
      <c r="D17" s="8"/>
      <c r="E17" s="8"/>
      <c r="F17" s="8"/>
      <c r="G17" s="8"/>
      <c r="H17" s="8"/>
      <c r="I17" s="8"/>
      <c r="J17" s="8"/>
      <c r="K17" s="8"/>
      <c r="L17" s="8"/>
      <c r="M17" s="8"/>
      <c r="N17" s="8"/>
      <c r="O17" s="8"/>
    </row>
    <row r="18" spans="1:15" ht="15.75" customHeight="1">
      <c r="A18" s="65" t="s">
        <v>149</v>
      </c>
      <c r="B18" s="365">
        <v>0</v>
      </c>
      <c r="C18" s="8"/>
      <c r="D18" s="8"/>
      <c r="E18" s="8"/>
      <c r="F18" s="8"/>
      <c r="G18" s="8"/>
      <c r="H18" s="8"/>
      <c r="I18" s="8"/>
      <c r="J18" s="8"/>
      <c r="K18" s="8"/>
      <c r="L18" s="8"/>
      <c r="M18" s="8"/>
      <c r="N18" s="8"/>
      <c r="O18" s="8"/>
    </row>
    <row r="19" spans="1:15" ht="15.75" customHeight="1">
      <c r="A19" s="65" t="s">
        <v>150</v>
      </c>
      <c r="B19" s="363">
        <v>5</v>
      </c>
      <c r="C19" s="8"/>
      <c r="D19" s="8"/>
      <c r="E19" s="8"/>
      <c r="F19" s="8"/>
      <c r="G19" s="8"/>
      <c r="H19" s="8"/>
      <c r="I19" s="8"/>
      <c r="J19" s="8"/>
      <c r="K19" s="8"/>
      <c r="L19" s="8"/>
      <c r="M19" s="8"/>
      <c r="N19" s="8"/>
      <c r="O19" s="8"/>
    </row>
    <row r="20" spans="1:15" ht="31.5" customHeight="1">
      <c r="A20" s="547" t="s">
        <v>151</v>
      </c>
      <c r="B20" s="548"/>
      <c r="C20" s="548"/>
      <c r="D20" s="548"/>
      <c r="E20" s="548"/>
      <c r="F20" s="548"/>
      <c r="G20" s="548"/>
      <c r="H20" s="7"/>
      <c r="I20" s="7"/>
      <c r="J20" s="8"/>
      <c r="K20" s="8"/>
      <c r="L20" s="8"/>
      <c r="M20" s="8"/>
      <c r="N20" s="8"/>
      <c r="O20" s="8"/>
    </row>
    <row r="21" spans="1:15" ht="21.75" customHeight="1">
      <c r="A21" s="64" t="s">
        <v>152</v>
      </c>
      <c r="B21" s="64"/>
      <c r="C21" s="64"/>
      <c r="D21" s="64"/>
      <c r="E21" s="64"/>
      <c r="F21" s="64"/>
      <c r="G21" s="64"/>
      <c r="H21" s="64"/>
      <c r="I21" s="64"/>
      <c r="J21" s="8"/>
      <c r="K21" s="8"/>
      <c r="L21" s="8"/>
      <c r="M21" s="8"/>
      <c r="N21" s="8"/>
      <c r="O21" s="8"/>
    </row>
    <row r="22" spans="1:15" ht="18" customHeight="1">
      <c r="A22" s="68" t="s">
        <v>153</v>
      </c>
      <c r="B22" s="69" t="s">
        <v>154</v>
      </c>
      <c r="C22" s="69" t="s">
        <v>155</v>
      </c>
      <c r="D22" s="69" t="s">
        <v>156</v>
      </c>
      <c r="E22" s="69" t="s">
        <v>157</v>
      </c>
      <c r="F22" s="69" t="s">
        <v>158</v>
      </c>
      <c r="G22" s="69" t="s">
        <v>159</v>
      </c>
      <c r="H22" s="69" t="s">
        <v>160</v>
      </c>
      <c r="I22" s="69"/>
      <c r="J22" s="8"/>
      <c r="K22" s="8"/>
      <c r="L22" s="8"/>
      <c r="M22" s="8"/>
      <c r="N22" s="8"/>
      <c r="O22" s="8"/>
    </row>
    <row r="23" spans="1:15" ht="15.75" customHeight="1">
      <c r="A23" s="65" t="s">
        <v>161</v>
      </c>
      <c r="B23" s="367">
        <v>3735</v>
      </c>
      <c r="C23" s="367">
        <v>4810</v>
      </c>
      <c r="D23" s="367">
        <v>5291</v>
      </c>
      <c r="E23" s="367">
        <v>5768</v>
      </c>
      <c r="F23" s="367">
        <v>6287</v>
      </c>
      <c r="G23" s="367">
        <v>6859</v>
      </c>
      <c r="H23" s="70">
        <f>(G23/B23)^(1/5)-1</f>
        <v>0.12926024509246026</v>
      </c>
      <c r="I23" s="70"/>
      <c r="J23" s="8"/>
      <c r="K23" s="8"/>
      <c r="L23" s="8"/>
      <c r="M23" s="8"/>
      <c r="N23" s="8"/>
      <c r="O23" s="8"/>
    </row>
    <row r="24" spans="1:15" ht="15.75" customHeight="1">
      <c r="A24" s="65" t="s">
        <v>162</v>
      </c>
      <c r="B24" s="367">
        <v>231</v>
      </c>
      <c r="C24" s="367">
        <v>623</v>
      </c>
      <c r="D24">
        <v>872</v>
      </c>
      <c r="E24" s="367">
        <v>1134</v>
      </c>
      <c r="F24" s="367">
        <v>1418</v>
      </c>
      <c r="G24" s="367">
        <v>1702</v>
      </c>
      <c r="H24" s="70">
        <f>(G24/B24)^(1/5)-1</f>
        <v>0.49097209461523872</v>
      </c>
      <c r="I24" s="70"/>
      <c r="J24" s="8"/>
      <c r="K24" s="8"/>
      <c r="L24" s="8"/>
      <c r="M24" s="8"/>
      <c r="N24" s="8"/>
      <c r="O24" s="8"/>
    </row>
    <row r="25" spans="1:15" ht="15.75" customHeight="1">
      <c r="A25" s="65" t="s">
        <v>163</v>
      </c>
      <c r="B25" s="367">
        <v>1800</v>
      </c>
      <c r="C25" s="367">
        <v>1400</v>
      </c>
      <c r="D25" s="367">
        <v>2203</v>
      </c>
      <c r="E25" s="367">
        <v>3304</v>
      </c>
      <c r="F25" s="367">
        <v>4626</v>
      </c>
      <c r="G25" s="367">
        <v>5782</v>
      </c>
      <c r="H25" s="70" t="s">
        <v>164</v>
      </c>
      <c r="I25" s="70"/>
      <c r="J25" s="8"/>
      <c r="K25" s="8"/>
      <c r="L25" s="8"/>
      <c r="M25" s="8"/>
      <c r="N25" s="8"/>
      <c r="O25" s="8"/>
    </row>
    <row r="26" spans="1:15" ht="15.75" customHeight="1">
      <c r="A26" s="65" t="s">
        <v>165</v>
      </c>
      <c r="B26" s="367">
        <v>46</v>
      </c>
      <c r="C26" s="367">
        <v>111</v>
      </c>
      <c r="D26" s="367">
        <v>167</v>
      </c>
      <c r="E26" s="367">
        <v>234</v>
      </c>
      <c r="F26" s="367">
        <v>304</v>
      </c>
      <c r="G26" s="367">
        <v>380</v>
      </c>
      <c r="H26" s="70">
        <f>(G26/B26)^(1/5)-1</f>
        <v>0.52547520483385801</v>
      </c>
      <c r="I26" s="70"/>
      <c r="J26" s="8"/>
      <c r="K26" s="8"/>
      <c r="L26" s="8"/>
      <c r="M26" s="8"/>
      <c r="N26" s="8"/>
      <c r="O26" s="8"/>
    </row>
    <row r="27" spans="1:15" ht="15.75" customHeight="1">
      <c r="A27" s="65" t="s">
        <v>166</v>
      </c>
      <c r="B27" s="367">
        <v>0</v>
      </c>
      <c r="C27" s="367">
        <v>177</v>
      </c>
      <c r="D27" s="367">
        <v>230</v>
      </c>
      <c r="E27" s="367">
        <v>299</v>
      </c>
      <c r="F27" s="367">
        <v>359</v>
      </c>
      <c r="G27" s="367">
        <v>413</v>
      </c>
      <c r="H27" s="70">
        <f>(G27/C27)^(1/4)-1</f>
        <v>0.23593091702244706</v>
      </c>
      <c r="I27" s="70"/>
      <c r="J27" s="8"/>
      <c r="K27" s="8"/>
      <c r="L27" s="8"/>
      <c r="M27" s="8"/>
      <c r="N27" s="8"/>
      <c r="O27" s="8"/>
    </row>
    <row r="28" spans="1:15" ht="6" customHeight="1">
      <c r="A28" s="7"/>
      <c r="B28" s="7"/>
      <c r="C28" s="7"/>
      <c r="D28" s="7"/>
      <c r="E28" s="7"/>
      <c r="F28" s="7"/>
      <c r="G28" s="7"/>
      <c r="H28" s="7"/>
      <c r="I28" s="7"/>
      <c r="J28" s="8"/>
      <c r="K28" s="8"/>
      <c r="L28" s="8"/>
      <c r="M28" s="8"/>
      <c r="N28" s="8"/>
      <c r="O28" s="8"/>
    </row>
    <row r="29" spans="1:15" ht="15.75" customHeight="1">
      <c r="A29" s="71" t="s">
        <v>167</v>
      </c>
      <c r="B29" s="72">
        <f>SUM(B23:B27)</f>
        <v>5812</v>
      </c>
      <c r="C29" s="72">
        <f>'Revenue Build'!N10</f>
        <v>8365.3000000000011</v>
      </c>
      <c r="D29" s="72">
        <f>'Revenue Build'!O10</f>
        <v>10079.480000000001</v>
      </c>
      <c r="E29" s="72">
        <f>'Revenue Build'!P10</f>
        <v>12130.851199999999</v>
      </c>
      <c r="F29" s="72">
        <f>'Revenue Build'!Q10</f>
        <v>14465.389247999999</v>
      </c>
      <c r="G29" s="72">
        <f>'Revenue Build'!R10</f>
        <v>16688.972817919999</v>
      </c>
      <c r="H29" s="73">
        <f>(G29/B29)^(1/5)-1</f>
        <v>0.23486874991756879</v>
      </c>
      <c r="I29" s="74"/>
      <c r="J29" s="8"/>
      <c r="K29" s="8"/>
      <c r="L29" s="8"/>
      <c r="M29" s="8"/>
      <c r="N29" s="8"/>
      <c r="O29" s="8"/>
    </row>
    <row r="30" spans="1:15" ht="15.75" customHeight="1">
      <c r="A30" s="75" t="s">
        <v>168</v>
      </c>
      <c r="B30" s="76"/>
      <c r="C30" s="77">
        <f>C29/B29-1</f>
        <v>0.43931520991053019</v>
      </c>
      <c r="D30" s="77">
        <f>D29/C29-1</f>
        <v>0.20491554397331835</v>
      </c>
      <c r="E30" s="77">
        <f>E29/D29-1</f>
        <v>0.20351954664327887</v>
      </c>
      <c r="F30" s="77">
        <f>F29/E29-1</f>
        <v>0.19244635100297014</v>
      </c>
      <c r="G30" s="77">
        <f>G29/F29-1</f>
        <v>0.15371750678796525</v>
      </c>
      <c r="H30" s="8"/>
      <c r="I30" s="8"/>
      <c r="J30" s="8"/>
      <c r="K30" s="8"/>
      <c r="L30" s="8"/>
      <c r="M30" s="8"/>
      <c r="N30" s="8"/>
      <c r="O30" s="8"/>
    </row>
    <row r="31" spans="1:15" ht="15.75" customHeight="1">
      <c r="A31" s="78" t="s">
        <v>169</v>
      </c>
      <c r="B31" s="422">
        <v>0.15</v>
      </c>
      <c r="C31" s="77" t="s">
        <v>170</v>
      </c>
      <c r="D31" s="77"/>
      <c r="E31" s="77"/>
      <c r="F31" s="77"/>
      <c r="G31" s="77"/>
      <c r="H31" s="8"/>
      <c r="I31" s="8"/>
      <c r="J31" s="8"/>
      <c r="K31" s="8"/>
      <c r="L31" s="8"/>
      <c r="M31" s="8"/>
      <c r="N31" s="8"/>
      <c r="O31" s="8"/>
    </row>
    <row r="32" spans="1:15" ht="20" customHeight="1">
      <c r="A32" s="79" t="s">
        <v>171</v>
      </c>
      <c r="B32" s="409">
        <v>1182</v>
      </c>
      <c r="C32" s="77"/>
      <c r="D32" s="77"/>
      <c r="E32" s="77"/>
      <c r="F32" s="77"/>
      <c r="G32" s="77"/>
      <c r="H32" s="8"/>
      <c r="I32" s="8"/>
      <c r="J32" s="8"/>
      <c r="K32" s="8"/>
      <c r="L32" s="8"/>
      <c r="M32" s="8"/>
      <c r="N32" s="8"/>
      <c r="O32" s="8"/>
    </row>
    <row r="33" spans="1:15" ht="3" customHeight="1">
      <c r="A33" s="7"/>
      <c r="B33" s="7"/>
      <c r="C33" s="7"/>
      <c r="D33" s="7"/>
      <c r="E33" s="7"/>
      <c r="F33" s="7"/>
      <c r="G33" s="7"/>
      <c r="H33" s="7"/>
      <c r="I33" s="7"/>
      <c r="J33" s="8"/>
      <c r="K33" s="8"/>
      <c r="L33" s="8"/>
      <c r="M33" s="8"/>
      <c r="N33" s="8"/>
      <c r="O33" s="8"/>
    </row>
    <row r="34" spans="1:15" ht="13" customHeight="1">
      <c r="A34" s="505" t="s">
        <v>172</v>
      </c>
      <c r="B34" s="506">
        <v>0.04</v>
      </c>
      <c r="C34" s="7"/>
      <c r="D34" s="7"/>
      <c r="E34" s="7"/>
      <c r="F34" s="7"/>
      <c r="G34" s="7"/>
      <c r="H34" s="7"/>
      <c r="I34" s="7"/>
      <c r="J34" s="8"/>
      <c r="K34" s="8"/>
      <c r="L34" s="8"/>
      <c r="M34" s="8"/>
      <c r="N34" s="8"/>
      <c r="O34" s="8"/>
    </row>
    <row r="35" spans="1:15" ht="14" customHeight="1">
      <c r="A35" s="505" t="s">
        <v>173</v>
      </c>
      <c r="B35" s="507">
        <f>'Balance Sheet'!B9/B29</f>
        <v>7.0543702684101855E-3</v>
      </c>
      <c r="C35" s="7"/>
      <c r="D35" s="7"/>
      <c r="E35" s="7"/>
      <c r="F35" s="7"/>
      <c r="G35" s="7"/>
      <c r="H35" s="7"/>
      <c r="I35" s="7"/>
      <c r="J35" s="8"/>
      <c r="K35" s="8"/>
      <c r="L35" s="8"/>
      <c r="M35" s="8"/>
      <c r="N35" s="8"/>
      <c r="O35" s="8"/>
    </row>
    <row r="36" spans="1:15" ht="21.75" customHeight="1">
      <c r="A36" s="64" t="s">
        <v>174</v>
      </c>
      <c r="B36" s="64"/>
      <c r="C36" s="64"/>
      <c r="D36" s="64"/>
      <c r="E36" s="64"/>
      <c r="F36" s="64"/>
      <c r="G36" s="64"/>
      <c r="H36" s="64"/>
      <c r="I36" s="64"/>
      <c r="J36" s="8"/>
      <c r="K36" s="8"/>
      <c r="L36" s="8"/>
      <c r="M36" s="8"/>
      <c r="N36" s="8"/>
      <c r="O36" s="8"/>
    </row>
    <row r="37" spans="1:15" ht="18" customHeight="1">
      <c r="A37" s="68" t="s">
        <v>175</v>
      </c>
      <c r="B37" s="69" t="s">
        <v>154</v>
      </c>
      <c r="C37" s="69" t="s">
        <v>155</v>
      </c>
      <c r="D37" s="69" t="s">
        <v>156</v>
      </c>
      <c r="E37" s="69" t="s">
        <v>157</v>
      </c>
      <c r="F37" s="69" t="s">
        <v>158</v>
      </c>
      <c r="G37" s="69" t="s">
        <v>159</v>
      </c>
      <c r="H37" s="69" t="s">
        <v>176</v>
      </c>
      <c r="I37" s="69"/>
      <c r="J37" s="8"/>
      <c r="K37" s="8"/>
      <c r="L37" s="8"/>
      <c r="M37" s="8"/>
      <c r="N37" s="8"/>
      <c r="O37" s="8"/>
    </row>
    <row r="38" spans="1:15" ht="15.75" customHeight="1">
      <c r="A38" s="65" t="s">
        <v>161</v>
      </c>
      <c r="B38" s="365">
        <v>0.25</v>
      </c>
      <c r="C38" s="365">
        <v>0.22</v>
      </c>
      <c r="D38" s="365">
        <f>C38+0.02*$G$223</f>
        <v>0.24</v>
      </c>
      <c r="E38" s="365">
        <f>C38+0.03*$G$223</f>
        <v>0.25</v>
      </c>
      <c r="F38" s="365">
        <f>C38+0.04*$G$223</f>
        <v>0.26</v>
      </c>
      <c r="G38" s="365">
        <f>C38+0.05*$G$223</f>
        <v>0.27</v>
      </c>
      <c r="H38" s="16" t="s">
        <v>177</v>
      </c>
      <c r="I38" s="16"/>
      <c r="J38" s="8"/>
      <c r="K38" s="8"/>
      <c r="L38" s="8"/>
      <c r="M38" s="8"/>
      <c r="N38" s="8"/>
      <c r="O38" s="8"/>
    </row>
    <row r="39" spans="1:15" ht="15.75" customHeight="1">
      <c r="A39" s="65" t="s">
        <v>162</v>
      </c>
      <c r="B39" s="365">
        <v>0.45</v>
      </c>
      <c r="C39" s="365">
        <v>0.38</v>
      </c>
      <c r="D39" s="365">
        <f>C39-0.01*$G$223</f>
        <v>0.37</v>
      </c>
      <c r="E39" s="365">
        <f>C39-0.01*$G$223</f>
        <v>0.37</v>
      </c>
      <c r="F39" s="365">
        <f>C39</f>
        <v>0.38</v>
      </c>
      <c r="G39" s="365">
        <f>C39+0.01*$G$223</f>
        <v>0.39</v>
      </c>
      <c r="H39" s="16" t="s">
        <v>178</v>
      </c>
      <c r="I39" s="16"/>
      <c r="J39" s="8"/>
      <c r="K39" s="8"/>
      <c r="L39" s="8"/>
      <c r="M39" s="8"/>
      <c r="N39" s="8"/>
      <c r="O39" s="8"/>
    </row>
    <row r="40" spans="1:15" ht="15.75" customHeight="1">
      <c r="A40" s="65" t="s">
        <v>163</v>
      </c>
      <c r="B40" s="365">
        <v>0.38</v>
      </c>
      <c r="C40" s="365">
        <v>0.45</v>
      </c>
      <c r="D40" s="365">
        <f>C40</f>
        <v>0.45</v>
      </c>
      <c r="E40" s="365">
        <f>C40+0.01*$G$223</f>
        <v>0.46</v>
      </c>
      <c r="F40" s="365">
        <f>C40+0.01*$G$223</f>
        <v>0.46</v>
      </c>
      <c r="G40" s="365">
        <f>C40+0.02*$G$223</f>
        <v>0.47000000000000003</v>
      </c>
      <c r="H40" s="16" t="s">
        <v>179</v>
      </c>
      <c r="I40" s="16"/>
      <c r="J40" s="8"/>
      <c r="K40" s="8"/>
      <c r="L40" s="8"/>
      <c r="M40" s="8"/>
      <c r="N40" s="8"/>
      <c r="O40" s="8"/>
    </row>
    <row r="41" spans="1:15" ht="15.75" customHeight="1">
      <c r="A41" s="65" t="s">
        <v>165</v>
      </c>
      <c r="B41" s="365">
        <v>0.3</v>
      </c>
      <c r="C41" s="365">
        <v>0.25</v>
      </c>
      <c r="D41" s="365">
        <f>C41+0.02*$G$223</f>
        <v>0.27</v>
      </c>
      <c r="E41" s="365">
        <f>C41+0.03*$G$223</f>
        <v>0.28000000000000003</v>
      </c>
      <c r="F41" s="365">
        <f>C41+0.04*$G$223</f>
        <v>0.28999999999999998</v>
      </c>
      <c r="G41" s="365">
        <f>C41+0.05*$G$223</f>
        <v>0.3</v>
      </c>
      <c r="H41" s="16" t="s">
        <v>180</v>
      </c>
      <c r="I41" s="16"/>
      <c r="J41" s="8"/>
      <c r="K41" s="8"/>
      <c r="L41" s="8"/>
      <c r="M41" s="8"/>
      <c r="N41" s="8"/>
      <c r="O41" s="8"/>
    </row>
    <row r="42" spans="1:15" ht="15.75" customHeight="1">
      <c r="A42" s="65" t="s">
        <v>166</v>
      </c>
      <c r="B42" s="365"/>
      <c r="C42" s="365">
        <v>0.25</v>
      </c>
      <c r="D42" s="365">
        <f>C42+0.02*$G$223</f>
        <v>0.27</v>
      </c>
      <c r="E42" s="365">
        <f>C42+0.04*$G$223</f>
        <v>0.28999999999999998</v>
      </c>
      <c r="F42" s="365">
        <f>C42+0.05*$G$223</f>
        <v>0.3</v>
      </c>
      <c r="G42" s="365">
        <f>C42+0.06*$G$223</f>
        <v>0.31</v>
      </c>
      <c r="H42" s="16" t="s">
        <v>181</v>
      </c>
      <c r="I42" s="16"/>
      <c r="J42" s="8"/>
      <c r="K42" s="8"/>
      <c r="L42" s="8"/>
      <c r="M42" s="8"/>
      <c r="N42" s="8"/>
      <c r="O42" s="8"/>
    </row>
    <row r="43" spans="1:15" ht="15.75" customHeight="1">
      <c r="A43" s="71" t="s">
        <v>182</v>
      </c>
      <c r="B43" s="73">
        <f t="shared" ref="B43:G43" si="0">SUMPRODUCT(B23:B27,B38:B42)/B29</f>
        <v>0.29860633172746043</v>
      </c>
      <c r="C43" s="73">
        <f t="shared" si="0"/>
        <v>0.23871708127622437</v>
      </c>
      <c r="D43" s="73">
        <f t="shared" si="0"/>
        <v>0.26698004262124631</v>
      </c>
      <c r="E43" s="73">
        <f t="shared" si="0"/>
        <v>0.29129448063792923</v>
      </c>
      <c r="F43" s="73">
        <f t="shared" si="0"/>
        <v>0.31089934207071535</v>
      </c>
      <c r="G43" s="73">
        <f t="shared" si="0"/>
        <v>0.32807771093741894</v>
      </c>
      <c r="H43" s="80"/>
      <c r="I43" s="8"/>
      <c r="J43" s="8"/>
      <c r="K43" s="8"/>
      <c r="L43" s="8"/>
      <c r="M43" s="8"/>
      <c r="N43" s="8"/>
      <c r="O43" s="8"/>
    </row>
    <row r="44" spans="1:15" ht="9.75" customHeight="1">
      <c r="A44" s="7"/>
      <c r="B44" s="7"/>
      <c r="C44" s="7"/>
      <c r="D44" s="7"/>
      <c r="E44" s="7"/>
      <c r="F44" s="7"/>
      <c r="G44" s="7"/>
      <c r="H44" s="7"/>
      <c r="I44" s="7"/>
      <c r="J44" s="8"/>
      <c r="K44" s="8"/>
      <c r="L44" s="8"/>
      <c r="M44" s="8"/>
      <c r="N44" s="8"/>
      <c r="O44" s="8"/>
    </row>
    <row r="45" spans="1:15" ht="21.75" customHeight="1">
      <c r="A45" s="64" t="s">
        <v>183</v>
      </c>
      <c r="B45" s="64"/>
      <c r="C45" s="64"/>
      <c r="D45" s="64"/>
      <c r="E45" s="64"/>
      <c r="F45" s="64"/>
      <c r="G45" s="64"/>
      <c r="H45" s="64"/>
      <c r="I45" s="64"/>
      <c r="J45" s="8"/>
      <c r="K45" s="8"/>
      <c r="L45" s="8"/>
      <c r="M45" s="8"/>
      <c r="N45" s="8"/>
      <c r="O45" s="8"/>
    </row>
    <row r="46" spans="1:15" ht="18" customHeight="1">
      <c r="A46" s="68" t="s">
        <v>184</v>
      </c>
      <c r="B46" s="69" t="s">
        <v>185</v>
      </c>
      <c r="C46" s="69" t="s">
        <v>155</v>
      </c>
      <c r="D46" s="69" t="s">
        <v>156</v>
      </c>
      <c r="E46" s="69" t="s">
        <v>157</v>
      </c>
      <c r="F46" s="69" t="s">
        <v>158</v>
      </c>
      <c r="G46" s="69" t="s">
        <v>159</v>
      </c>
      <c r="H46" s="69" t="s">
        <v>176</v>
      </c>
      <c r="I46" s="69"/>
      <c r="J46" s="8"/>
      <c r="K46" s="8"/>
      <c r="L46" s="8"/>
      <c r="M46" s="8"/>
      <c r="N46" s="8"/>
      <c r="O46" s="8"/>
    </row>
    <row r="47" spans="1:15" ht="15.75" customHeight="1">
      <c r="A47" s="65" t="s">
        <v>186</v>
      </c>
      <c r="B47" s="367">
        <v>0</v>
      </c>
      <c r="C47" s="367">
        <f>160*$G$229</f>
        <v>160</v>
      </c>
      <c r="D47" s="367">
        <f>168*$G$229</f>
        <v>168</v>
      </c>
      <c r="E47" s="367">
        <f>176*$G$229</f>
        <v>176</v>
      </c>
      <c r="F47" s="367">
        <f>185*$G$229</f>
        <v>185</v>
      </c>
      <c r="G47" s="367">
        <f>194*$G$229</f>
        <v>194</v>
      </c>
      <c r="H47" s="16" t="s">
        <v>187</v>
      </c>
      <c r="I47" s="16"/>
      <c r="J47" s="8"/>
      <c r="K47" s="8"/>
      <c r="L47" s="8"/>
      <c r="M47" s="8"/>
      <c r="N47" s="8"/>
      <c r="O47" s="8"/>
    </row>
    <row r="48" spans="1:15" ht="15.75" customHeight="1">
      <c r="A48" s="65" t="s">
        <v>188</v>
      </c>
      <c r="B48" s="367">
        <v>491</v>
      </c>
      <c r="C48" s="367">
        <f>400*$G$229</f>
        <v>400</v>
      </c>
      <c r="D48" s="367">
        <f>420*$G$229</f>
        <v>420</v>
      </c>
      <c r="E48" s="367">
        <f>441*$G$229</f>
        <v>441</v>
      </c>
      <c r="F48" s="367">
        <f>463*$G$229</f>
        <v>463</v>
      </c>
      <c r="G48" s="367">
        <f>486*$G$229</f>
        <v>486</v>
      </c>
      <c r="H48" s="16" t="s">
        <v>189</v>
      </c>
      <c r="I48" s="16"/>
      <c r="J48" s="8"/>
      <c r="K48" s="8"/>
      <c r="L48" s="8"/>
      <c r="M48" s="8"/>
      <c r="N48" s="8"/>
      <c r="O48" s="8"/>
    </row>
    <row r="49" spans="1:15" ht="15.75" customHeight="1">
      <c r="A49" s="65" t="s">
        <v>190</v>
      </c>
      <c r="B49" s="367">
        <v>36</v>
      </c>
      <c r="C49" s="367">
        <f>65*$G$229</f>
        <v>65</v>
      </c>
      <c r="D49" s="367">
        <f>68*$G$229</f>
        <v>68</v>
      </c>
      <c r="E49" s="367">
        <f>71*$G$229</f>
        <v>71</v>
      </c>
      <c r="F49" s="367">
        <f>75*$G$229</f>
        <v>75</v>
      </c>
      <c r="G49" s="367">
        <f>79*$G$229</f>
        <v>79</v>
      </c>
      <c r="H49" s="16" t="s">
        <v>191</v>
      </c>
      <c r="I49" s="16"/>
      <c r="J49" s="8"/>
      <c r="K49" s="8"/>
      <c r="L49" s="8"/>
      <c r="M49" s="8"/>
      <c r="N49" s="8"/>
      <c r="O49" s="8"/>
    </row>
    <row r="50" spans="1:15" ht="15.75" customHeight="1">
      <c r="A50" s="81" t="s">
        <v>192</v>
      </c>
      <c r="B50" s="82">
        <f>SUM(B47:B49)</f>
        <v>527</v>
      </c>
      <c r="C50" s="82">
        <f>C47+C48+C49</f>
        <v>625</v>
      </c>
      <c r="D50" s="82">
        <f>D47+D48+D49</f>
        <v>656</v>
      </c>
      <c r="E50" s="82">
        <f>E47+E48+E49</f>
        <v>688</v>
      </c>
      <c r="F50" s="82">
        <f>F47+F48+F49</f>
        <v>723</v>
      </c>
      <c r="G50" s="82">
        <f>G47+G48+G49</f>
        <v>759</v>
      </c>
      <c r="H50" s="80"/>
      <c r="I50" s="8"/>
      <c r="J50" s="8"/>
      <c r="K50" s="8"/>
      <c r="L50" s="8"/>
      <c r="M50" s="8"/>
      <c r="N50" s="8"/>
      <c r="O50" s="8"/>
    </row>
    <row r="51" spans="1:15" ht="6" customHeight="1">
      <c r="A51" s="7"/>
      <c r="B51" s="83"/>
      <c r="C51" s="83"/>
      <c r="D51" s="83"/>
      <c r="E51" s="83"/>
      <c r="F51" s="83"/>
      <c r="G51" s="83"/>
      <c r="H51" s="7"/>
      <c r="I51" s="7"/>
      <c r="J51" s="8"/>
      <c r="K51" s="8"/>
      <c r="L51" s="8"/>
      <c r="M51" s="8"/>
      <c r="N51" s="8"/>
      <c r="O51" s="8"/>
    </row>
    <row r="52" spans="1:15" ht="15.75" customHeight="1">
      <c r="A52" s="65" t="s">
        <v>193</v>
      </c>
      <c r="B52" s="367">
        <v>103</v>
      </c>
      <c r="C52" s="82">
        <f>ROUND(C29*0.025*(1-$B$18),0)</f>
        <v>209</v>
      </c>
      <c r="D52" s="367">
        <f>ROUND(D29*0.025*(1-$B$18),0)</f>
        <v>252</v>
      </c>
      <c r="E52" s="367">
        <f>ROUND(E29*0.024*(1-$B$18),0)</f>
        <v>291</v>
      </c>
      <c r="F52" s="367">
        <f>ROUND(F29*0.023*(1-$B$18),0)</f>
        <v>333</v>
      </c>
      <c r="G52" s="367">
        <f>ROUND(G29*0.022*(1-$B$18),0)</f>
        <v>367</v>
      </c>
      <c r="H52" s="415" t="s">
        <v>194</v>
      </c>
      <c r="I52" s="16"/>
      <c r="J52" s="8"/>
      <c r="K52" s="8"/>
      <c r="L52" s="8"/>
      <c r="M52" s="8"/>
      <c r="N52" s="8"/>
      <c r="O52" s="8"/>
    </row>
    <row r="53" spans="1:15" ht="15.75" customHeight="1">
      <c r="A53" s="65" t="s">
        <v>195</v>
      </c>
      <c r="B53" s="367">
        <v>59</v>
      </c>
      <c r="C53" s="367">
        <f>80*$G$224</f>
        <v>80</v>
      </c>
      <c r="D53" s="367">
        <f>84*$G$224</f>
        <v>84</v>
      </c>
      <c r="E53" s="367">
        <f>88*$G$224</f>
        <v>88</v>
      </c>
      <c r="F53" s="367">
        <f>92*$G$224</f>
        <v>92</v>
      </c>
      <c r="G53" s="367">
        <f>97*$G$224</f>
        <v>97</v>
      </c>
      <c r="H53" s="16" t="s">
        <v>196</v>
      </c>
      <c r="I53" s="16"/>
      <c r="J53" s="8"/>
      <c r="K53" s="8"/>
      <c r="L53" s="8"/>
      <c r="M53" s="8"/>
      <c r="N53" s="8"/>
      <c r="O53" s="8"/>
    </row>
    <row r="54" spans="1:15" ht="15.75" customHeight="1">
      <c r="A54" s="65" t="s">
        <v>197</v>
      </c>
      <c r="B54" s="367">
        <v>47</v>
      </c>
      <c r="C54" s="367">
        <f>80*$G$225</f>
        <v>80</v>
      </c>
      <c r="D54" s="367">
        <f>80*$G$225</f>
        <v>80</v>
      </c>
      <c r="E54" s="367">
        <f>100*$G$225</f>
        <v>100</v>
      </c>
      <c r="F54" s="367">
        <f>120*$G$225</f>
        <v>120</v>
      </c>
      <c r="G54" s="367">
        <f>150*$G$225</f>
        <v>150</v>
      </c>
      <c r="H54" s="16" t="s">
        <v>198</v>
      </c>
      <c r="I54" s="16"/>
      <c r="J54" s="8"/>
      <c r="K54" s="8"/>
      <c r="L54" s="8"/>
      <c r="M54" s="8"/>
      <c r="N54" s="8"/>
      <c r="O54" s="8"/>
    </row>
    <row r="55" spans="1:15" ht="15.75" customHeight="1">
      <c r="A55" s="65" t="s">
        <v>199</v>
      </c>
      <c r="B55" s="367">
        <v>24</v>
      </c>
      <c r="C55" s="367">
        <f>50*$G$226</f>
        <v>50</v>
      </c>
      <c r="D55" s="367">
        <f>35*$G$226</f>
        <v>35</v>
      </c>
      <c r="E55" s="367">
        <f>35*$G$226</f>
        <v>35</v>
      </c>
      <c r="F55" s="367">
        <f>40*$G$226</f>
        <v>40</v>
      </c>
      <c r="G55" s="367">
        <f>40*$G$226</f>
        <v>40</v>
      </c>
      <c r="H55" s="16" t="s">
        <v>200</v>
      </c>
      <c r="I55" s="16"/>
      <c r="J55" s="8"/>
      <c r="K55" s="8"/>
      <c r="L55" s="8"/>
      <c r="M55" s="8"/>
      <c r="N55" s="8"/>
      <c r="O55" s="8"/>
    </row>
    <row r="56" spans="1:15" ht="15.75" customHeight="1">
      <c r="A56" s="65" t="s">
        <v>201</v>
      </c>
      <c r="B56" s="367">
        <v>237</v>
      </c>
      <c r="C56" s="82">
        <f>ROUND($B$56+C65/$B$19,0)</f>
        <v>466</v>
      </c>
      <c r="D56" s="367">
        <f>ROUND($B$56+C65/$B$19+D65/$B$19,0)</f>
        <v>634</v>
      </c>
      <c r="E56" s="367">
        <f>ROUND($B$56+C65/$B$19+D65/$B$19+E65/$B$19,0)</f>
        <v>834</v>
      </c>
      <c r="F56" s="367">
        <f>ROUND($B$56+C65/$B$19+D65/$B$19+E65/$B$19+F65/$B$19,0)</f>
        <v>1064</v>
      </c>
      <c r="G56" s="367">
        <f>ROUND($B$56+C65/$B$19+D65/$B$19+E65/$B$19+F65/$B$19+G65/$B$19,0)</f>
        <v>1292</v>
      </c>
      <c r="H56" s="16" t="s">
        <v>202</v>
      </c>
      <c r="I56" s="16"/>
      <c r="J56" s="8"/>
      <c r="K56" s="8"/>
      <c r="L56" s="8"/>
      <c r="M56" s="8"/>
      <c r="N56" s="8"/>
      <c r="O56" s="8"/>
    </row>
    <row r="57" spans="1:15" ht="6" customHeight="1">
      <c r="A57" s="7"/>
      <c r="B57" s="7"/>
      <c r="C57" s="7"/>
      <c r="D57" s="7"/>
      <c r="E57" s="7"/>
      <c r="F57" s="7"/>
      <c r="G57" s="7"/>
      <c r="H57" s="7"/>
      <c r="I57" s="7"/>
      <c r="J57" s="8"/>
      <c r="K57" s="8"/>
      <c r="L57" s="8"/>
      <c r="M57" s="8"/>
      <c r="N57" s="8"/>
      <c r="O57" s="8"/>
    </row>
    <row r="58" spans="1:15" ht="15.75" customHeight="1">
      <c r="A58" s="71" t="s">
        <v>203</v>
      </c>
      <c r="B58" s="72">
        <f t="shared" ref="B58:G58" si="1">B50+B52+B53+B54+B55+B56</f>
        <v>997</v>
      </c>
      <c r="C58" s="72">
        <f t="shared" si="1"/>
        <v>1510</v>
      </c>
      <c r="D58" s="72">
        <f t="shared" si="1"/>
        <v>1741</v>
      </c>
      <c r="E58" s="72">
        <f t="shared" si="1"/>
        <v>2036</v>
      </c>
      <c r="F58" s="72">
        <f t="shared" si="1"/>
        <v>2372</v>
      </c>
      <c r="G58" s="72">
        <f t="shared" si="1"/>
        <v>2705</v>
      </c>
      <c r="H58" s="80"/>
      <c r="I58" s="8"/>
      <c r="J58" s="8"/>
      <c r="K58" s="8"/>
      <c r="L58" s="8"/>
      <c r="M58" s="8"/>
      <c r="N58" s="8"/>
      <c r="O58" s="8"/>
    </row>
    <row r="59" spans="1:15" ht="15.75" customHeight="1">
      <c r="A59" s="75" t="s">
        <v>204</v>
      </c>
      <c r="B59" s="77">
        <f t="shared" ref="B59:G59" si="2">B58/B29</f>
        <v>0.17154163799036476</v>
      </c>
      <c r="C59" s="77">
        <f t="shared" si="2"/>
        <v>0.18050757295016315</v>
      </c>
      <c r="D59" s="77">
        <f t="shared" si="2"/>
        <v>0.17272716449658115</v>
      </c>
      <c r="E59" s="77">
        <f t="shared" si="2"/>
        <v>0.16783653236138946</v>
      </c>
      <c r="F59" s="77">
        <f t="shared" si="2"/>
        <v>0.16397761299979918</v>
      </c>
      <c r="G59" s="77">
        <f t="shared" si="2"/>
        <v>0.16208307302744668</v>
      </c>
      <c r="H59" s="8"/>
      <c r="I59" s="8"/>
      <c r="J59" s="8"/>
      <c r="K59" s="8"/>
      <c r="L59" s="8"/>
      <c r="M59" s="8"/>
      <c r="N59" s="8"/>
      <c r="O59" s="8"/>
    </row>
    <row r="60" spans="1:15" ht="13.5" customHeight="1">
      <c r="A60" s="84" t="s">
        <v>205</v>
      </c>
      <c r="B60" s="84">
        <v>320</v>
      </c>
      <c r="C60" s="84">
        <v>0</v>
      </c>
      <c r="D60" s="84">
        <v>0</v>
      </c>
      <c r="E60" s="84">
        <v>0</v>
      </c>
      <c r="F60" s="84">
        <v>0</v>
      </c>
      <c r="G60" s="84">
        <v>0</v>
      </c>
      <c r="H60" s="7"/>
      <c r="I60" s="7"/>
      <c r="J60" s="8"/>
      <c r="K60" s="8"/>
      <c r="L60" s="8"/>
      <c r="M60" s="8"/>
      <c r="N60" s="8"/>
      <c r="O60" s="8"/>
    </row>
    <row r="61" spans="1:15" ht="21.75" customHeight="1">
      <c r="A61" s="64" t="s">
        <v>206</v>
      </c>
      <c r="B61" s="64"/>
      <c r="C61" s="64"/>
      <c r="D61" s="64"/>
      <c r="E61" s="64"/>
      <c r="F61" s="64"/>
      <c r="G61" s="64"/>
      <c r="H61" s="64"/>
      <c r="I61" s="64"/>
      <c r="J61" s="8"/>
      <c r="K61" s="8"/>
      <c r="L61" s="8"/>
      <c r="M61" s="8"/>
      <c r="N61" s="8"/>
      <c r="O61" s="8"/>
    </row>
    <row r="62" spans="1:15" ht="18" customHeight="1">
      <c r="A62" s="68" t="s">
        <v>207</v>
      </c>
      <c r="B62" s="69" t="s">
        <v>185</v>
      </c>
      <c r="C62" s="69" t="s">
        <v>155</v>
      </c>
      <c r="D62" s="69" t="s">
        <v>156</v>
      </c>
      <c r="E62" s="69" t="s">
        <v>157</v>
      </c>
      <c r="F62" s="69" t="s">
        <v>158</v>
      </c>
      <c r="G62" s="69" t="s">
        <v>159</v>
      </c>
      <c r="H62" s="69" t="s">
        <v>176</v>
      </c>
      <c r="I62" s="69"/>
      <c r="J62" s="8"/>
      <c r="K62" s="8"/>
      <c r="L62" s="8"/>
      <c r="M62" s="8"/>
      <c r="N62" s="8"/>
      <c r="O62" s="8"/>
    </row>
    <row r="63" spans="1:15" ht="15.75" customHeight="1">
      <c r="A63" s="65" t="s">
        <v>208</v>
      </c>
      <c r="B63" s="8"/>
      <c r="C63" s="85">
        <f>ROUND((C29-B29)*$B$17,0)</f>
        <v>1021</v>
      </c>
      <c r="D63" s="85">
        <f>ROUND((D29-C29)*$B$17,0)</f>
        <v>686</v>
      </c>
      <c r="E63" s="85">
        <f>ROUND((E29-D29)*$B$17,0)</f>
        <v>821</v>
      </c>
      <c r="F63" s="85">
        <f>ROUND((F29-E29)*$B$17,0)</f>
        <v>934</v>
      </c>
      <c r="G63" s="85">
        <f>ROUND((G29-F29)*$B$17,0)</f>
        <v>889</v>
      </c>
      <c r="H63" s="16" t="s">
        <v>209</v>
      </c>
      <c r="I63" s="16"/>
      <c r="J63" s="8"/>
      <c r="K63" s="8"/>
      <c r="L63" s="8"/>
      <c r="M63" s="8"/>
      <c r="N63" s="8"/>
      <c r="O63" s="8"/>
    </row>
    <row r="64" spans="1:15" ht="15.75" customHeight="1">
      <c r="A64" s="65" t="s">
        <v>210</v>
      </c>
      <c r="B64" s="86"/>
      <c r="C64" s="85">
        <f>ROUND(C29*$G$230,0)</f>
        <v>125</v>
      </c>
      <c r="D64" s="85">
        <f>ROUND(D29*$G$230,0)</f>
        <v>151</v>
      </c>
      <c r="E64" s="85">
        <f>ROUND(E29*$G$230,0)</f>
        <v>182</v>
      </c>
      <c r="F64" s="85">
        <f>ROUND(F29*$G$230,0)</f>
        <v>217</v>
      </c>
      <c r="G64" s="85">
        <f>ROUND(G29*$G$230,0)</f>
        <v>250</v>
      </c>
      <c r="H64" s="16" t="s">
        <v>211</v>
      </c>
      <c r="I64" s="16"/>
      <c r="J64" s="8"/>
      <c r="K64" s="8"/>
      <c r="L64" s="8"/>
      <c r="M64" s="8"/>
      <c r="N64" s="8"/>
      <c r="O64" s="8"/>
    </row>
    <row r="65" spans="1:15" ht="15.75" customHeight="1">
      <c r="A65" s="71" t="s">
        <v>212</v>
      </c>
      <c r="B65" s="87"/>
      <c r="C65" s="72">
        <f>C63+C64</f>
        <v>1146</v>
      </c>
      <c r="D65" s="72">
        <f>D63+D64</f>
        <v>837</v>
      </c>
      <c r="E65" s="72">
        <f>E63+E64</f>
        <v>1003</v>
      </c>
      <c r="F65" s="72">
        <f>F63+F64</f>
        <v>1151</v>
      </c>
      <c r="G65" s="72">
        <f>G63+G64</f>
        <v>1139</v>
      </c>
      <c r="H65" s="80"/>
      <c r="I65" s="8"/>
      <c r="J65" s="8"/>
      <c r="K65" s="8"/>
      <c r="L65" s="8"/>
      <c r="M65" s="8"/>
      <c r="N65" s="8"/>
      <c r="O65" s="8"/>
    </row>
    <row r="66" spans="1:15" ht="9.75" customHeight="1">
      <c r="A66" s="7"/>
      <c r="B66" s="83"/>
      <c r="C66" s="83"/>
      <c r="D66" s="83"/>
      <c r="E66" s="83"/>
      <c r="F66" s="83"/>
      <c r="G66" s="83"/>
      <c r="H66" s="7"/>
      <c r="I66" s="7"/>
      <c r="J66" s="8"/>
      <c r="K66" s="8"/>
      <c r="L66" s="8"/>
      <c r="M66" s="8"/>
      <c r="N66" s="8"/>
      <c r="O66" s="8"/>
    </row>
    <row r="67" spans="1:15" ht="15.75" customHeight="1">
      <c r="A67" s="68" t="s">
        <v>213</v>
      </c>
      <c r="B67" s="88" t="s">
        <v>214</v>
      </c>
      <c r="C67" s="8"/>
      <c r="D67" s="8"/>
      <c r="E67" s="8"/>
      <c r="F67" s="8"/>
      <c r="G67" s="8"/>
      <c r="H67" s="88" t="s">
        <v>176</v>
      </c>
      <c r="I67" s="88"/>
      <c r="J67" s="8"/>
      <c r="K67" s="8"/>
      <c r="L67" s="8"/>
      <c r="M67" s="8"/>
      <c r="N67" s="8"/>
      <c r="O67" s="8"/>
    </row>
    <row r="68" spans="1:15" ht="15.75" customHeight="1">
      <c r="A68" s="65" t="s">
        <v>215</v>
      </c>
      <c r="B68" s="368">
        <v>36</v>
      </c>
      <c r="C68" s="369">
        <f>$B$68+$G$228</f>
        <v>36</v>
      </c>
      <c r="D68" s="370">
        <f>35+$G$228</f>
        <v>35</v>
      </c>
      <c r="E68" s="370">
        <f>34+$G$228</f>
        <v>34</v>
      </c>
      <c r="F68" s="370">
        <f>33+$G$228</f>
        <v>33</v>
      </c>
      <c r="G68" s="370">
        <f>33+$G$228</f>
        <v>33</v>
      </c>
      <c r="H68" s="16" t="s">
        <v>216</v>
      </c>
      <c r="I68" s="16"/>
      <c r="J68" s="8"/>
      <c r="K68" s="8"/>
      <c r="L68" s="8"/>
      <c r="M68" s="8"/>
      <c r="N68" s="8"/>
      <c r="O68" s="8"/>
    </row>
    <row r="69" spans="1:15" ht="15.75" customHeight="1">
      <c r="A69" s="65" t="s">
        <v>217</v>
      </c>
      <c r="B69" s="368">
        <v>18</v>
      </c>
      <c r="C69" s="369">
        <f>$B$69</f>
        <v>18</v>
      </c>
      <c r="D69" s="369">
        <f>$B$69</f>
        <v>18</v>
      </c>
      <c r="E69" s="369">
        <f>$B$69</f>
        <v>18</v>
      </c>
      <c r="F69" s="369">
        <f>$B$69</f>
        <v>18</v>
      </c>
      <c r="G69" s="369">
        <f>$B$69</f>
        <v>18</v>
      </c>
      <c r="H69" s="16" t="s">
        <v>218</v>
      </c>
      <c r="I69" s="16"/>
      <c r="J69" s="8"/>
      <c r="K69" s="8"/>
      <c r="L69" s="8"/>
      <c r="M69" s="8"/>
      <c r="N69" s="8"/>
      <c r="O69" s="8"/>
    </row>
    <row r="70" spans="1:15" ht="15.75" customHeight="1">
      <c r="A70" s="68" t="s">
        <v>219</v>
      </c>
      <c r="B70" s="412">
        <v>37</v>
      </c>
      <c r="C70" s="68">
        <f>IF('Revenue Build'!N7&gt;0,ROUND('Balance Sheet'!N7/('Revenue Build'!N7/365),0),0)</f>
        <v>3</v>
      </c>
      <c r="D70" s="68">
        <f>IF('Revenue Build'!O7&gt;0,ROUND('Balance Sheet'!O7/('Revenue Build'!O7/365),0),0)</f>
        <v>37</v>
      </c>
      <c r="E70" s="68">
        <f>IF('Revenue Build'!P7&gt;0,ROUND('Balance Sheet'!P7/('Revenue Build'!P7/365),0),0)</f>
        <v>36</v>
      </c>
      <c r="F70" s="68">
        <f>IF('Revenue Build'!Q7&gt;0,ROUND('Balance Sheet'!Q7/('Revenue Build'!Q7/365),0),0)</f>
        <v>36</v>
      </c>
      <c r="G70" s="68">
        <f>IF('Revenue Build'!R7&gt;0,ROUND('Balance Sheet'!R7/('Revenue Build'!R7/365),0),0)</f>
        <v>37</v>
      </c>
      <c r="H70" s="89" t="s">
        <v>220</v>
      </c>
      <c r="I70" s="89"/>
      <c r="J70" s="8"/>
      <c r="K70" s="8"/>
      <c r="L70" s="8"/>
      <c r="M70" s="8"/>
      <c r="N70" s="8"/>
      <c r="O70" s="8"/>
    </row>
    <row r="71" spans="1:15" ht="15.75" customHeight="1">
      <c r="A71" s="45" t="s">
        <v>221</v>
      </c>
      <c r="B71" s="90">
        <f t="shared" ref="B71:G71" si="3">B68-B69</f>
        <v>18</v>
      </c>
      <c r="C71" s="49">
        <f t="shared" si="3"/>
        <v>18</v>
      </c>
      <c r="D71" s="49">
        <f t="shared" si="3"/>
        <v>17</v>
      </c>
      <c r="E71" s="49">
        <f t="shared" si="3"/>
        <v>16</v>
      </c>
      <c r="F71" s="49">
        <f t="shared" si="3"/>
        <v>15</v>
      </c>
      <c r="G71" s="49">
        <f t="shared" si="3"/>
        <v>15</v>
      </c>
      <c r="H71" s="16" t="s">
        <v>222</v>
      </c>
      <c r="I71" s="16"/>
      <c r="J71" s="8"/>
      <c r="K71" s="8"/>
      <c r="L71" s="8"/>
      <c r="M71" s="8"/>
      <c r="N71" s="8"/>
      <c r="O71" s="8"/>
    </row>
    <row r="72" spans="1:15" ht="6" customHeight="1">
      <c r="A72" s="7"/>
      <c r="B72" s="7"/>
      <c r="C72" s="7"/>
      <c r="D72" s="7"/>
      <c r="E72" s="7"/>
      <c r="F72" s="7"/>
      <c r="G72" s="7"/>
      <c r="H72" s="7"/>
      <c r="I72" s="7"/>
      <c r="J72" s="8"/>
      <c r="K72" s="8"/>
      <c r="L72" s="8"/>
      <c r="M72" s="8"/>
      <c r="N72" s="8"/>
      <c r="O72" s="8"/>
    </row>
    <row r="73" spans="1:15" ht="15.75" customHeight="1">
      <c r="A73" s="65" t="s">
        <v>223</v>
      </c>
      <c r="B73" s="365">
        <v>0.1</v>
      </c>
      <c r="C73" s="8"/>
      <c r="D73" s="8"/>
      <c r="E73" s="8"/>
      <c r="F73" s="8"/>
      <c r="G73" s="8"/>
      <c r="H73" s="16" t="s">
        <v>224</v>
      </c>
      <c r="I73" s="16"/>
      <c r="J73" s="8"/>
      <c r="K73" s="8"/>
      <c r="L73" s="8"/>
      <c r="M73" s="8"/>
      <c r="N73" s="8"/>
      <c r="O73" s="8"/>
    </row>
    <row r="74" spans="1:15" ht="15.75" customHeight="1">
      <c r="A74" s="65" t="s">
        <v>225</v>
      </c>
      <c r="B74" s="365">
        <v>0.03</v>
      </c>
      <c r="C74" s="8"/>
      <c r="D74" s="8"/>
      <c r="E74" s="8"/>
      <c r="F74" s="8"/>
      <c r="G74" s="8"/>
      <c r="H74" s="16" t="s">
        <v>226</v>
      </c>
      <c r="I74" s="16"/>
      <c r="J74" s="8"/>
      <c r="K74" s="8"/>
      <c r="L74" s="8"/>
      <c r="M74" s="8"/>
      <c r="N74" s="8"/>
      <c r="O74" s="8"/>
    </row>
    <row r="75" spans="1:15" ht="9.75" customHeight="1">
      <c r="A75" s="7"/>
      <c r="B75" s="7"/>
      <c r="C75" s="7"/>
      <c r="D75" s="7"/>
      <c r="E75" s="7"/>
      <c r="F75" s="7"/>
      <c r="G75" s="7"/>
      <c r="H75" s="7"/>
      <c r="I75" s="7"/>
      <c r="J75" s="8"/>
      <c r="K75" s="8"/>
      <c r="L75" s="8"/>
      <c r="M75" s="8"/>
      <c r="N75" s="8"/>
      <c r="O75" s="8"/>
    </row>
    <row r="76" spans="1:15" ht="21.75" customHeight="1">
      <c r="A76" s="64" t="s">
        <v>227</v>
      </c>
      <c r="B76" s="64"/>
      <c r="C76" s="64"/>
      <c r="D76" s="64"/>
      <c r="E76" s="64"/>
      <c r="F76" s="64"/>
      <c r="G76" s="64"/>
      <c r="H76" s="64"/>
      <c r="I76" s="64"/>
      <c r="J76" s="8"/>
      <c r="K76" s="8"/>
      <c r="L76" s="8"/>
      <c r="M76" s="8"/>
      <c r="N76" s="8"/>
      <c r="O76" s="8"/>
    </row>
    <row r="77" spans="1:15" ht="18" customHeight="1">
      <c r="A77" s="68" t="s">
        <v>228</v>
      </c>
      <c r="B77" s="69" t="s">
        <v>229</v>
      </c>
      <c r="C77" s="69" t="s">
        <v>230</v>
      </c>
      <c r="D77" s="69" t="s">
        <v>231</v>
      </c>
      <c r="E77" s="69" t="s">
        <v>232</v>
      </c>
      <c r="F77" s="69" t="s">
        <v>233</v>
      </c>
      <c r="G77" s="91"/>
      <c r="H77" s="92" t="s">
        <v>176</v>
      </c>
      <c r="I77" s="92"/>
      <c r="J77" s="8"/>
      <c r="K77" s="8"/>
      <c r="L77" s="8"/>
      <c r="M77" s="8"/>
      <c r="N77" s="8"/>
      <c r="O77" s="8"/>
    </row>
    <row r="78" spans="1:15" ht="15.75" customHeight="1">
      <c r="A78" s="65" t="s">
        <v>234</v>
      </c>
      <c r="B78" s="367">
        <v>1500</v>
      </c>
      <c r="C78" s="93">
        <f>B78/$B$81</f>
        <v>0.5</v>
      </c>
      <c r="D78" s="365">
        <v>8.5000000000000006E-2</v>
      </c>
      <c r="E78" s="371">
        <v>5</v>
      </c>
      <c r="F78" s="367">
        <f>ROUND(-PMT(D78/12,E78*12,B78),1)</f>
        <v>30.8</v>
      </c>
      <c r="G78" s="8"/>
      <c r="H78" s="16" t="s">
        <v>235</v>
      </c>
      <c r="I78" s="16"/>
      <c r="J78" s="8"/>
      <c r="K78" s="8"/>
      <c r="L78" s="8"/>
      <c r="M78" s="8"/>
      <c r="N78" s="8"/>
      <c r="O78" s="8"/>
    </row>
    <row r="79" spans="1:15" ht="15.75" customHeight="1">
      <c r="A79" s="65" t="s">
        <v>236</v>
      </c>
      <c r="B79" s="367">
        <v>1500</v>
      </c>
      <c r="C79" s="93">
        <f>B79/$B$81</f>
        <v>0.5</v>
      </c>
      <c r="D79" s="94" t="s">
        <v>237</v>
      </c>
      <c r="E79" s="95" t="s">
        <v>237</v>
      </c>
      <c r="F79" s="331" t="s">
        <v>237</v>
      </c>
      <c r="G79" s="8"/>
      <c r="H79" s="96" t="s">
        <v>238</v>
      </c>
      <c r="I79" s="96"/>
      <c r="J79" s="8"/>
      <c r="K79" s="8"/>
      <c r="L79" s="8"/>
      <c r="M79" s="8"/>
      <c r="N79" s="8"/>
      <c r="O79" s="8"/>
    </row>
    <row r="80" spans="1:15" ht="15.75" customHeight="1">
      <c r="A80" s="65" t="s">
        <v>239</v>
      </c>
      <c r="B80" s="367">
        <v>0</v>
      </c>
      <c r="C80" s="93">
        <f>B80/$B$81</f>
        <v>0</v>
      </c>
      <c r="D80" s="365">
        <v>0.1</v>
      </c>
      <c r="E80" s="371">
        <v>3</v>
      </c>
      <c r="F80" s="367">
        <f>ROUND(B80*D80/12,1)</f>
        <v>0</v>
      </c>
      <c r="G80" s="8"/>
      <c r="H80" s="16" t="s">
        <v>240</v>
      </c>
      <c r="I80" s="16"/>
      <c r="J80" s="8"/>
      <c r="K80" s="8"/>
      <c r="L80" s="8"/>
      <c r="M80" s="8"/>
      <c r="N80" s="8"/>
      <c r="O80" s="8"/>
    </row>
    <row r="81" spans="1:15" ht="15.75" customHeight="1">
      <c r="A81" s="71" t="s">
        <v>241</v>
      </c>
      <c r="B81" s="97">
        <f>SUM(B78:B80)</f>
        <v>3000</v>
      </c>
      <c r="C81" s="73">
        <f>SUM(C78:C80)</f>
        <v>1</v>
      </c>
      <c r="D81" s="80"/>
      <c r="E81" s="80"/>
      <c r="F81" s="80"/>
      <c r="G81" s="80"/>
      <c r="H81" s="80"/>
      <c r="I81" s="8"/>
      <c r="J81" s="8"/>
      <c r="K81" s="8"/>
      <c r="L81" s="8"/>
      <c r="M81" s="8"/>
      <c r="N81" s="8"/>
      <c r="O81" s="8"/>
    </row>
    <row r="82" spans="1:15" ht="6" customHeight="1">
      <c r="A82" s="7"/>
      <c r="B82" s="7"/>
      <c r="C82" s="7"/>
      <c r="D82" s="7"/>
      <c r="E82" s="7"/>
      <c r="F82" s="7"/>
      <c r="G82" s="7"/>
      <c r="H82" s="7"/>
      <c r="I82" s="7"/>
      <c r="J82" s="8"/>
      <c r="K82" s="8"/>
      <c r="L82" s="8"/>
      <c r="M82" s="8"/>
      <c r="N82" s="8"/>
      <c r="O82" s="8"/>
    </row>
    <row r="83" spans="1:15" ht="18" customHeight="1">
      <c r="A83" s="68" t="s">
        <v>242</v>
      </c>
      <c r="B83" s="69" t="s">
        <v>243</v>
      </c>
      <c r="C83" s="69" t="s">
        <v>230</v>
      </c>
      <c r="D83" s="69" t="s">
        <v>231</v>
      </c>
      <c r="E83" s="69" t="s">
        <v>232</v>
      </c>
      <c r="F83" s="69" t="s">
        <v>233</v>
      </c>
      <c r="G83" s="8"/>
      <c r="H83" s="88" t="s">
        <v>176</v>
      </c>
      <c r="I83" s="88"/>
      <c r="J83" s="8"/>
      <c r="K83" s="8"/>
      <c r="L83" s="8"/>
      <c r="M83" s="8"/>
      <c r="N83" s="8"/>
      <c r="O83" s="8"/>
    </row>
    <row r="84" spans="1:15" ht="15.75" customHeight="1">
      <c r="A84" s="65" t="s">
        <v>244</v>
      </c>
      <c r="B84" s="367">
        <v>440</v>
      </c>
      <c r="C84" s="93">
        <f>B84/$B$86</f>
        <v>0.55000000000000004</v>
      </c>
      <c r="D84" s="365">
        <v>6.5000000000000002E-2</v>
      </c>
      <c r="E84" s="371">
        <v>4</v>
      </c>
      <c r="F84" s="367">
        <v>17.600000000000001</v>
      </c>
      <c r="G84" s="8"/>
      <c r="H84" s="16" t="s">
        <v>245</v>
      </c>
      <c r="I84" s="16"/>
      <c r="J84" s="8"/>
      <c r="K84" s="8"/>
      <c r="L84" s="8"/>
      <c r="M84" s="8"/>
      <c r="N84" s="8"/>
      <c r="O84" s="8"/>
    </row>
    <row r="85" spans="1:15" ht="15.75" customHeight="1">
      <c r="A85" s="65" t="s">
        <v>246</v>
      </c>
      <c r="B85" s="367">
        <v>360</v>
      </c>
      <c r="C85" s="93">
        <f>B85/$B$86</f>
        <v>0.45</v>
      </c>
      <c r="D85" s="365">
        <v>7.4999999999999997E-2</v>
      </c>
      <c r="E85" s="371">
        <v>4</v>
      </c>
      <c r="F85" s="367">
        <v>14.4</v>
      </c>
      <c r="G85" s="8"/>
      <c r="H85" s="16" t="s">
        <v>247</v>
      </c>
      <c r="I85" s="16"/>
      <c r="J85" s="8"/>
      <c r="K85" s="8"/>
      <c r="L85" s="8"/>
      <c r="M85" s="8"/>
      <c r="N85" s="8"/>
      <c r="O85" s="8"/>
    </row>
    <row r="86" spans="1:15" ht="15.75" customHeight="1">
      <c r="A86" s="71" t="s">
        <v>248</v>
      </c>
      <c r="B86" s="97">
        <f>SUM(B84:B85)</f>
        <v>800</v>
      </c>
      <c r="C86" s="80"/>
      <c r="D86" s="80"/>
      <c r="E86" s="80"/>
      <c r="F86" s="72">
        <f>SUM(F84:F85)</f>
        <v>32</v>
      </c>
      <c r="G86" s="80"/>
      <c r="H86" s="98" t="s">
        <v>249</v>
      </c>
      <c r="I86" s="16"/>
      <c r="J86" s="8"/>
      <c r="K86" s="8"/>
      <c r="L86" s="8"/>
      <c r="M86" s="8"/>
      <c r="N86" s="8"/>
      <c r="O86" s="8"/>
    </row>
    <row r="87" spans="1:15" ht="6" customHeight="1">
      <c r="A87" s="7"/>
      <c r="B87" s="7"/>
      <c r="C87" s="7"/>
      <c r="D87" s="7"/>
      <c r="E87" s="7"/>
      <c r="F87" s="7"/>
      <c r="G87" s="7"/>
      <c r="H87" s="7"/>
      <c r="I87" s="7"/>
      <c r="J87" s="8"/>
      <c r="K87" s="8"/>
      <c r="L87" s="8"/>
      <c r="M87" s="8"/>
      <c r="N87" s="8"/>
      <c r="O87" s="8"/>
    </row>
    <row r="88" spans="1:15" ht="18" customHeight="1">
      <c r="A88" s="68" t="s">
        <v>250</v>
      </c>
      <c r="B88" s="69" t="s">
        <v>229</v>
      </c>
      <c r="C88" s="69"/>
      <c r="D88" s="69" t="s">
        <v>231</v>
      </c>
      <c r="E88" s="69" t="s">
        <v>232</v>
      </c>
      <c r="F88" s="69" t="s">
        <v>233</v>
      </c>
      <c r="G88" s="8"/>
      <c r="H88" s="99" t="s">
        <v>176</v>
      </c>
      <c r="I88" s="99"/>
      <c r="J88" s="8"/>
      <c r="K88" s="8"/>
      <c r="L88" s="8"/>
      <c r="M88" s="8"/>
      <c r="N88" s="8"/>
      <c r="O88" s="8"/>
    </row>
    <row r="89" spans="1:15" ht="15.75" customHeight="1">
      <c r="A89" s="65" t="s">
        <v>251</v>
      </c>
      <c r="B89" s="367">
        <v>700</v>
      </c>
      <c r="C89" s="8"/>
      <c r="D89" s="365">
        <v>7.0000000000000007E-2</v>
      </c>
      <c r="E89" s="371">
        <v>5</v>
      </c>
      <c r="F89" s="367">
        <f>ROUND(-PMT(D89/12,E89*12,B89),1)</f>
        <v>13.9</v>
      </c>
      <c r="G89" s="8"/>
      <c r="H89" s="16" t="s">
        <v>252</v>
      </c>
      <c r="I89" s="16"/>
      <c r="J89" s="8"/>
      <c r="K89" s="8"/>
      <c r="L89" s="8"/>
      <c r="M89" s="8"/>
      <c r="N89" s="8"/>
      <c r="O89" s="8"/>
    </row>
    <row r="90" spans="1:15" ht="15.75" customHeight="1">
      <c r="A90" s="65" t="s">
        <v>253</v>
      </c>
      <c r="B90" s="367">
        <v>50</v>
      </c>
      <c r="C90" s="8"/>
      <c r="D90" s="365">
        <v>7.0000000000000007E-2</v>
      </c>
      <c r="E90" s="371">
        <v>5</v>
      </c>
      <c r="F90" s="367">
        <f>ROUND(-PMT(D90/12,E90*12,B90),1)</f>
        <v>1</v>
      </c>
      <c r="G90" s="8"/>
      <c r="H90" s="16" t="s">
        <v>254</v>
      </c>
      <c r="I90" s="16"/>
      <c r="J90" s="8"/>
      <c r="K90" s="8"/>
      <c r="L90" s="8"/>
      <c r="M90" s="8"/>
      <c r="N90" s="8"/>
      <c r="O90" s="8"/>
    </row>
    <row r="91" spans="1:15" ht="15.75" customHeight="1">
      <c r="A91" s="423" t="s">
        <v>255</v>
      </c>
      <c r="B91" s="367"/>
      <c r="C91" s="8"/>
      <c r="D91" s="365"/>
      <c r="E91" s="371"/>
      <c r="F91" s="367"/>
      <c r="G91" s="8"/>
      <c r="H91" s="16"/>
      <c r="I91" s="16"/>
      <c r="J91" s="8"/>
      <c r="K91" s="8"/>
      <c r="L91" s="8"/>
      <c r="M91" s="8"/>
      <c r="N91" s="8"/>
      <c r="O91" s="8"/>
    </row>
    <row r="92" spans="1:15" ht="15.75" customHeight="1">
      <c r="A92" s="65" t="s">
        <v>256</v>
      </c>
      <c r="B92" s="424">
        <v>1400</v>
      </c>
      <c r="C92" s="8"/>
      <c r="D92" s="365">
        <v>7.0000000000000007E-2</v>
      </c>
      <c r="E92" s="371">
        <v>5</v>
      </c>
      <c r="F92" s="426">
        <f>ROUND(-PMT(D92/12,E92*12,B92),1)</f>
        <v>27.7</v>
      </c>
      <c r="G92" s="8"/>
      <c r="H92" s="16" t="s">
        <v>257</v>
      </c>
      <c r="I92" s="16"/>
      <c r="J92" s="8"/>
      <c r="K92" s="8"/>
      <c r="L92" s="8"/>
      <c r="M92" s="8"/>
      <c r="N92" s="8"/>
      <c r="O92" s="8"/>
    </row>
    <row r="93" spans="1:15" ht="15.75" customHeight="1">
      <c r="A93" s="65" t="s">
        <v>258</v>
      </c>
      <c r="B93" s="424">
        <v>300</v>
      </c>
      <c r="C93" s="8"/>
      <c r="D93" s="365">
        <v>0.09</v>
      </c>
      <c r="E93" s="371">
        <v>5</v>
      </c>
      <c r="F93" s="426">
        <f>ROUND(-PMT(D93/12,E93*12,B93),1)</f>
        <v>6.2</v>
      </c>
      <c r="G93" s="8"/>
      <c r="H93" s="16" t="s">
        <v>259</v>
      </c>
      <c r="I93" s="16"/>
      <c r="J93" s="8"/>
      <c r="K93" s="8"/>
      <c r="L93" s="8"/>
      <c r="M93" s="8"/>
      <c r="N93" s="8"/>
      <c r="O93" s="8"/>
    </row>
    <row r="94" spans="1:15" ht="15.75" customHeight="1">
      <c r="A94" s="45" t="s">
        <v>260</v>
      </c>
      <c r="B94" s="427">
        <f>SUM(B92:B93)</f>
        <v>1700</v>
      </c>
      <c r="C94" s="80"/>
      <c r="D94" s="428"/>
      <c r="E94" s="429"/>
      <c r="F94" s="430">
        <f>SUM(F92:F93)</f>
        <v>33.9</v>
      </c>
      <c r="G94" s="8"/>
      <c r="H94" s="16" t="s">
        <v>261</v>
      </c>
      <c r="I94" s="16"/>
      <c r="J94" s="8"/>
      <c r="K94" s="8"/>
      <c r="L94" s="8"/>
      <c r="M94" s="8"/>
      <c r="N94" s="8"/>
      <c r="O94" s="8"/>
    </row>
    <row r="95" spans="1:15" ht="15.75" customHeight="1">
      <c r="A95" s="45" t="s">
        <v>262</v>
      </c>
      <c r="B95" s="425">
        <v>2000</v>
      </c>
      <c r="C95" s="8"/>
      <c r="D95" s="365"/>
      <c r="E95" s="371"/>
      <c r="F95" s="367"/>
      <c r="G95" s="8"/>
      <c r="H95" s="16" t="s">
        <v>263</v>
      </c>
      <c r="I95" s="16"/>
      <c r="J95" s="8"/>
      <c r="K95" s="8"/>
      <c r="L95" s="8"/>
      <c r="M95" s="8"/>
      <c r="N95" s="8"/>
      <c r="O95" s="8"/>
    </row>
    <row r="96" spans="1:15" ht="6" customHeight="1">
      <c r="A96" s="7" t="s">
        <v>264</v>
      </c>
      <c r="B96" s="410">
        <v>24</v>
      </c>
      <c r="C96" s="7"/>
      <c r="D96" s="7"/>
      <c r="E96" s="7"/>
      <c r="F96" s="7"/>
      <c r="G96" s="7"/>
      <c r="H96" s="7"/>
      <c r="I96" s="7"/>
      <c r="J96" s="8"/>
      <c r="K96" s="8"/>
      <c r="L96" s="8"/>
      <c r="M96" s="8"/>
      <c r="N96" s="8"/>
      <c r="O96" s="8"/>
    </row>
    <row r="97" spans="1:15" ht="18" customHeight="1">
      <c r="A97" s="68" t="s">
        <v>265</v>
      </c>
      <c r="B97" s="69" t="s">
        <v>266</v>
      </c>
      <c r="C97" s="69" t="s">
        <v>267</v>
      </c>
      <c r="D97" s="69" t="s">
        <v>268</v>
      </c>
      <c r="E97" s="69" t="s">
        <v>269</v>
      </c>
      <c r="F97" s="69" t="s">
        <v>270</v>
      </c>
      <c r="G97" s="69" t="s">
        <v>271</v>
      </c>
      <c r="H97" s="69" t="s">
        <v>176</v>
      </c>
      <c r="I97" s="69"/>
      <c r="J97" s="8"/>
      <c r="K97" s="8"/>
      <c r="L97" s="8"/>
      <c r="M97" s="8"/>
      <c r="N97" s="8"/>
      <c r="O97" s="8"/>
    </row>
    <row r="98" spans="1:15" ht="15.75" customHeight="1">
      <c r="A98" s="65" t="s">
        <v>272</v>
      </c>
      <c r="B98" s="372">
        <v>5.5</v>
      </c>
      <c r="C98" s="8">
        <v>4.5</v>
      </c>
      <c r="D98" s="8">
        <v>3.5</v>
      </c>
      <c r="E98" s="8">
        <v>3</v>
      </c>
      <c r="F98" s="364">
        <v>2.5</v>
      </c>
      <c r="G98" s="8">
        <f>IF($B$183="No Facility",B98,IF($B$183="Tier 1",C98,IF($B$183="Tier 2",D98,IF($B$183="Tier 3",E98,F98))))</f>
        <v>3.5</v>
      </c>
      <c r="H98" s="16" t="s">
        <v>273</v>
      </c>
      <c r="I98" s="16"/>
      <c r="J98" s="8"/>
      <c r="K98" s="8"/>
      <c r="L98" s="8"/>
      <c r="M98" s="8"/>
      <c r="N98" s="8"/>
      <c r="O98" s="8"/>
    </row>
    <row r="99" spans="1:15" ht="15.75" customHeight="1">
      <c r="A99" s="65" t="s">
        <v>274</v>
      </c>
      <c r="B99" s="372">
        <v>2.5</v>
      </c>
      <c r="C99" s="8">
        <v>2.5</v>
      </c>
      <c r="D99" s="8">
        <v>2.5</v>
      </c>
      <c r="E99" s="8">
        <v>2.5</v>
      </c>
      <c r="F99" s="364">
        <v>2.5</v>
      </c>
      <c r="G99" s="8">
        <f>IF($B$183="No Facility",B99,IF($B$183="Tier 1",C99,IF($B$183="Tier 2",D99,IF($B$183="Tier 3",E99,F99))))</f>
        <v>2.5</v>
      </c>
      <c r="H99" s="16" t="s">
        <v>275</v>
      </c>
      <c r="I99" s="16"/>
      <c r="J99" s="8"/>
      <c r="K99" s="8"/>
      <c r="L99" s="8"/>
      <c r="M99" s="8"/>
      <c r="N99" s="8"/>
      <c r="O99" s="8"/>
    </row>
    <row r="100" spans="1:15" ht="15.75" customHeight="1">
      <c r="A100" s="65" t="s">
        <v>276</v>
      </c>
      <c r="B100" s="373">
        <v>1.25</v>
      </c>
      <c r="C100" s="8">
        <v>1.25</v>
      </c>
      <c r="D100" s="8">
        <v>1.25</v>
      </c>
      <c r="E100" s="8">
        <v>1.2</v>
      </c>
      <c r="F100" s="364">
        <v>1.1499999999999999</v>
      </c>
      <c r="G100" s="8">
        <f>IF($B$183="No Facility",B100,IF($B$183="Tier 1",C100,IF($B$183="Tier 2",D100,IF($B$183="Tier 3",E100,F100))))</f>
        <v>1.25</v>
      </c>
      <c r="H100" s="16" t="s">
        <v>277</v>
      </c>
      <c r="I100" s="16"/>
      <c r="J100" s="8"/>
      <c r="K100" s="8"/>
      <c r="L100" s="8"/>
      <c r="M100" s="8"/>
      <c r="N100" s="8"/>
      <c r="O100" s="8"/>
    </row>
    <row r="101" spans="1:15" ht="15.75" customHeight="1">
      <c r="A101" s="65" t="s">
        <v>278</v>
      </c>
      <c r="B101" s="367">
        <v>250</v>
      </c>
      <c r="C101" s="8">
        <v>150</v>
      </c>
      <c r="D101" s="8">
        <v>200</v>
      </c>
      <c r="E101" s="8">
        <v>250</v>
      </c>
      <c r="F101" s="364">
        <v>300</v>
      </c>
      <c r="G101" s="8">
        <f>IF($B$183="No Facility",B101,IF($B$183="Tier 1",C101,IF($B$183="Tier 2",D101,IF($B$183="Tier 3",E101,F101))))</f>
        <v>200</v>
      </c>
      <c r="H101" s="16" t="s">
        <v>279</v>
      </c>
      <c r="I101" s="16"/>
      <c r="J101" s="8"/>
      <c r="K101" s="8"/>
      <c r="L101" s="8"/>
      <c r="M101" s="8"/>
      <c r="N101" s="8"/>
      <c r="O101" s="8"/>
    </row>
    <row r="102" spans="1:15" ht="15.75" customHeight="1">
      <c r="A102" s="65" t="s">
        <v>280</v>
      </c>
      <c r="B102" s="365">
        <v>0.4</v>
      </c>
      <c r="C102" s="8"/>
      <c r="D102" s="8"/>
      <c r="E102" s="8"/>
      <c r="F102" s="8"/>
      <c r="G102" s="8"/>
      <c r="H102" s="16" t="s">
        <v>281</v>
      </c>
      <c r="I102" s="16"/>
      <c r="J102" s="8"/>
      <c r="K102" s="8"/>
      <c r="L102" s="8"/>
      <c r="M102" s="8"/>
      <c r="N102" s="8"/>
      <c r="O102" s="8"/>
    </row>
    <row r="103" spans="1:15" ht="15.75" customHeight="1">
      <c r="A103" s="65" t="s">
        <v>282</v>
      </c>
      <c r="B103" s="365">
        <v>0.31</v>
      </c>
      <c r="C103" s="8"/>
      <c r="D103" s="8"/>
      <c r="E103" s="8"/>
      <c r="F103" s="8"/>
      <c r="G103" s="8"/>
      <c r="H103" s="16" t="s">
        <v>283</v>
      </c>
      <c r="I103" s="16"/>
      <c r="J103" s="8"/>
      <c r="K103" s="8"/>
      <c r="L103" s="8"/>
      <c r="M103" s="8"/>
      <c r="N103" s="8"/>
      <c r="O103" s="8"/>
    </row>
    <row r="104" spans="1:15" ht="15.75" customHeight="1">
      <c r="A104" s="65" t="s">
        <v>284</v>
      </c>
      <c r="B104" s="365">
        <v>0.09</v>
      </c>
      <c r="C104" s="8"/>
      <c r="D104" s="8"/>
      <c r="E104" s="8"/>
      <c r="F104" s="8"/>
      <c r="G104" s="8"/>
      <c r="H104" s="16" t="s">
        <v>285</v>
      </c>
      <c r="I104" s="16"/>
      <c r="J104" s="8"/>
      <c r="K104" s="8"/>
      <c r="L104" s="8"/>
      <c r="M104" s="8"/>
      <c r="N104" s="8"/>
      <c r="O104" s="8"/>
    </row>
    <row r="105" spans="1:15" ht="9.75" customHeight="1">
      <c r="A105" s="7"/>
      <c r="B105" s="7"/>
      <c r="C105" s="7"/>
      <c r="D105" s="7"/>
      <c r="E105" s="7"/>
      <c r="F105" s="7"/>
      <c r="G105" s="7"/>
      <c r="H105" s="7"/>
      <c r="I105" s="7"/>
      <c r="J105" s="8"/>
      <c r="K105" s="8"/>
      <c r="L105" s="8"/>
      <c r="M105" s="8"/>
      <c r="N105" s="8"/>
      <c r="O105" s="8"/>
    </row>
    <row r="106" spans="1:15" ht="21.75" customHeight="1">
      <c r="A106" s="64" t="s">
        <v>286</v>
      </c>
      <c r="B106" s="64"/>
      <c r="C106" s="64"/>
      <c r="D106" s="64"/>
      <c r="E106" s="64"/>
      <c r="F106" s="64"/>
      <c r="G106" s="64"/>
      <c r="H106" s="64"/>
      <c r="I106" s="64"/>
      <c r="J106" s="100"/>
      <c r="K106" s="100"/>
      <c r="L106" s="100"/>
      <c r="M106" s="100"/>
      <c r="N106" s="100"/>
      <c r="O106" s="100"/>
    </row>
    <row r="107" spans="1:15" ht="18" customHeight="1">
      <c r="A107" s="68" t="s">
        <v>287</v>
      </c>
      <c r="B107" s="69" t="s">
        <v>288</v>
      </c>
      <c r="C107" s="69" t="s">
        <v>289</v>
      </c>
      <c r="D107" s="69" t="s">
        <v>290</v>
      </c>
      <c r="E107" s="69" t="s">
        <v>291</v>
      </c>
      <c r="F107" s="69" t="s">
        <v>292</v>
      </c>
      <c r="G107" s="69" t="s">
        <v>293</v>
      </c>
      <c r="H107" s="101" t="s">
        <v>294</v>
      </c>
      <c r="I107" s="101"/>
      <c r="J107" s="69" t="s">
        <v>295</v>
      </c>
      <c r="K107" s="69" t="s">
        <v>296</v>
      </c>
      <c r="L107" s="69" t="s">
        <v>297</v>
      </c>
      <c r="M107" s="69" t="s">
        <v>298</v>
      </c>
      <c r="N107" s="69" t="s">
        <v>299</v>
      </c>
      <c r="O107" s="69" t="s">
        <v>300</v>
      </c>
    </row>
    <row r="108" spans="1:15" ht="15.75" customHeight="1">
      <c r="A108" s="65" t="s">
        <v>161</v>
      </c>
      <c r="B108" s="365">
        <v>6.5000000000000002E-2</v>
      </c>
      <c r="C108" s="365">
        <v>6.5000000000000002E-2</v>
      </c>
      <c r="D108" s="365">
        <v>7.4999999999999997E-2</v>
      </c>
      <c r="E108" s="365">
        <v>8.5000000000000006E-2</v>
      </c>
      <c r="F108" s="365">
        <v>9.5000000000000001E-2</v>
      </c>
      <c r="G108" s="365">
        <v>0.1</v>
      </c>
      <c r="H108" s="365">
        <v>0.105</v>
      </c>
      <c r="I108" s="365"/>
      <c r="J108" s="365">
        <v>0.105</v>
      </c>
      <c r="K108" s="365">
        <v>9.5000000000000001E-2</v>
      </c>
      <c r="L108" s="365">
        <v>0.08</v>
      </c>
      <c r="M108" s="365">
        <v>6.5000000000000002E-2</v>
      </c>
      <c r="N108" s="365">
        <v>6.5000000000000002E-2</v>
      </c>
      <c r="O108" s="102">
        <f>SUM(B108:N108)</f>
        <v>0.99999999999999978</v>
      </c>
    </row>
    <row r="109" spans="1:15" ht="15.75" customHeight="1">
      <c r="A109" s="65" t="s">
        <v>162</v>
      </c>
      <c r="B109" s="365">
        <v>0.06</v>
      </c>
      <c r="C109" s="365">
        <v>0.06</v>
      </c>
      <c r="D109" s="365">
        <v>7.0000000000000007E-2</v>
      </c>
      <c r="E109" s="365">
        <v>8.5000000000000006E-2</v>
      </c>
      <c r="F109" s="365">
        <v>0.1</v>
      </c>
      <c r="G109" s="365">
        <v>0.11</v>
      </c>
      <c r="H109" s="365">
        <v>0.115</v>
      </c>
      <c r="I109" s="365"/>
      <c r="J109" s="365">
        <v>0.11</v>
      </c>
      <c r="K109" s="365">
        <v>9.5000000000000001E-2</v>
      </c>
      <c r="L109" s="365">
        <v>7.4999999999999997E-2</v>
      </c>
      <c r="M109" s="365">
        <v>6.5000000000000002E-2</v>
      </c>
      <c r="N109" s="365">
        <v>5.5E-2</v>
      </c>
      <c r="O109" s="103">
        <f>SUM(B109:N109)</f>
        <v>0.99999999999999989</v>
      </c>
    </row>
    <row r="110" spans="1:15" ht="15.75" customHeight="1">
      <c r="A110" s="65" t="s">
        <v>163</v>
      </c>
      <c r="B110" s="365">
        <v>5.5E-2</v>
      </c>
      <c r="C110" s="365">
        <v>0.06</v>
      </c>
      <c r="D110" s="365">
        <v>7.4999999999999997E-2</v>
      </c>
      <c r="E110" s="365">
        <v>0.09</v>
      </c>
      <c r="F110" s="365">
        <v>0.105</v>
      </c>
      <c r="G110" s="365">
        <v>0.115</v>
      </c>
      <c r="H110" s="365">
        <v>0.12</v>
      </c>
      <c r="I110" s="365"/>
      <c r="J110" s="365">
        <v>0.115</v>
      </c>
      <c r="K110" s="365">
        <v>9.5000000000000001E-2</v>
      </c>
      <c r="L110" s="365">
        <v>7.4999999999999997E-2</v>
      </c>
      <c r="M110" s="365">
        <v>0.05</v>
      </c>
      <c r="N110" s="365">
        <v>4.4999999999999998E-2</v>
      </c>
      <c r="O110" s="103">
        <f>SUM(B110:N110)</f>
        <v>1</v>
      </c>
    </row>
    <row r="111" spans="1:15" ht="15.75" customHeight="1">
      <c r="A111" s="65" t="s">
        <v>165</v>
      </c>
      <c r="B111" s="365">
        <v>7.4999999999999997E-2</v>
      </c>
      <c r="C111" s="365">
        <v>7.4999999999999997E-2</v>
      </c>
      <c r="D111" s="365">
        <v>0.08</v>
      </c>
      <c r="E111" s="365">
        <v>8.5000000000000006E-2</v>
      </c>
      <c r="F111" s="365">
        <v>0.09</v>
      </c>
      <c r="G111" s="365">
        <v>9.5000000000000001E-2</v>
      </c>
      <c r="H111" s="365">
        <v>9.5000000000000001E-2</v>
      </c>
      <c r="I111" s="365"/>
      <c r="J111" s="365">
        <v>0.09</v>
      </c>
      <c r="K111" s="365">
        <v>8.5000000000000006E-2</v>
      </c>
      <c r="L111" s="365">
        <v>0.08</v>
      </c>
      <c r="M111" s="365">
        <v>7.4999999999999997E-2</v>
      </c>
      <c r="N111" s="365">
        <v>7.4999999999999997E-2</v>
      </c>
      <c r="O111" s="103">
        <f>SUM(B111:N111)</f>
        <v>0.99999999999999978</v>
      </c>
    </row>
    <row r="112" spans="1:15" ht="15.75" customHeight="1">
      <c r="A112" s="65" t="s">
        <v>166</v>
      </c>
      <c r="B112" s="365">
        <v>0.04</v>
      </c>
      <c r="C112" s="365">
        <v>4.4999999999999998E-2</v>
      </c>
      <c r="D112" s="365">
        <v>0.06</v>
      </c>
      <c r="E112" s="365">
        <v>0.08</v>
      </c>
      <c r="F112" s="365">
        <v>0.1</v>
      </c>
      <c r="G112" s="365">
        <v>0.13</v>
      </c>
      <c r="H112" s="365">
        <v>0.14000000000000001</v>
      </c>
      <c r="I112" s="365"/>
      <c r="J112" s="365">
        <v>0.13</v>
      </c>
      <c r="K112" s="365">
        <v>0.1</v>
      </c>
      <c r="L112" s="365">
        <v>7.4999999999999997E-2</v>
      </c>
      <c r="M112" s="365">
        <v>5.5E-2</v>
      </c>
      <c r="N112" s="365">
        <v>4.4999999999999998E-2</v>
      </c>
      <c r="O112" s="103">
        <f>SUM(B112:N112)</f>
        <v>1</v>
      </c>
    </row>
    <row r="113" spans="1:15" ht="6" customHeight="1">
      <c r="A113" s="7"/>
      <c r="B113" s="7"/>
      <c r="C113" s="7"/>
      <c r="D113" s="7"/>
      <c r="E113" s="7"/>
      <c r="F113" s="7"/>
      <c r="G113" s="7"/>
      <c r="H113" s="7"/>
      <c r="I113" s="7"/>
      <c r="J113" s="7"/>
      <c r="K113" s="7"/>
      <c r="L113" s="7"/>
      <c r="M113" s="7"/>
      <c r="N113" s="7"/>
      <c r="O113" s="7"/>
    </row>
    <row r="114" spans="1:15" ht="15.75" customHeight="1">
      <c r="A114" s="45" t="s">
        <v>301</v>
      </c>
      <c r="B114" s="74">
        <f t="shared" ref="B114:H114" si="4">SUMPRODUCT(B108:B112,$C$23:$C$27)/SUM($C$23:$C$27)</f>
        <v>6.2131020924027523E-2</v>
      </c>
      <c r="C114" s="74">
        <f t="shared" si="4"/>
        <v>6.3238309226232275E-2</v>
      </c>
      <c r="D114" s="74">
        <f t="shared" si="4"/>
        <v>7.4267659036652153E-2</v>
      </c>
      <c r="E114" s="74">
        <f t="shared" si="4"/>
        <v>8.5858727706782753E-2</v>
      </c>
      <c r="F114" s="74">
        <f t="shared" si="4"/>
        <v>9.7449796376913367E-2</v>
      </c>
      <c r="G114" s="74">
        <f t="shared" si="4"/>
        <v>0.10449164443196179</v>
      </c>
      <c r="H114" s="74">
        <f t="shared" si="4"/>
        <v>0.10953798623788792</v>
      </c>
      <c r="I114" s="74"/>
      <c r="J114" s="74">
        <f>SUMPRODUCT(J108:J112,$C$23:$C$27)/SUM($C$23:$C$27)</f>
        <v>0.10779104058418761</v>
      </c>
      <c r="K114" s="74">
        <f>SUMPRODUCT(K108:K112,$C$23:$C$27)/SUM($C$23:$C$27)</f>
        <v>9.4968403314141275E-2</v>
      </c>
      <c r="L114" s="74">
        <f>SUMPRODUCT(L108:L112,$C$23:$C$27)/SUM($C$23:$C$27)</f>
        <v>7.8455273135795547E-2</v>
      </c>
      <c r="M114" s="74">
        <f>SUMPRODUCT(M108:M112,$C$23:$C$27)/SUM($C$23:$C$27)</f>
        <v>6.1958292374666483E-2</v>
      </c>
      <c r="N114" s="74">
        <f>SUMPRODUCT(N108:N112,$C$23:$C$27)/SUM($C$23:$C$27)</f>
        <v>5.9851846650751293E-2</v>
      </c>
      <c r="O114" s="104">
        <f>SUM(B114:N114)</f>
        <v>1</v>
      </c>
    </row>
    <row r="115" spans="1:15" ht="21.75" customHeight="1">
      <c r="A115" s="64" t="s">
        <v>302</v>
      </c>
      <c r="B115" s="105"/>
      <c r="C115" s="105"/>
      <c r="D115" s="105"/>
      <c r="E115" s="105"/>
      <c r="F115" s="105"/>
      <c r="G115" s="105"/>
      <c r="H115" s="105"/>
      <c r="I115" s="105"/>
      <c r="J115" s="105"/>
      <c r="K115" s="105"/>
      <c r="L115" s="105"/>
      <c r="M115" s="105"/>
      <c r="N115" s="105"/>
      <c r="O115" s="104"/>
    </row>
    <row r="116" spans="1:15" ht="15.75" customHeight="1">
      <c r="A116" s="68" t="s">
        <v>303</v>
      </c>
      <c r="B116" s="106" t="s">
        <v>288</v>
      </c>
      <c r="C116" s="106" t="s">
        <v>289</v>
      </c>
      <c r="D116" s="106" t="s">
        <v>290</v>
      </c>
      <c r="E116" s="106" t="s">
        <v>291</v>
      </c>
      <c r="F116" s="106" t="s">
        <v>292</v>
      </c>
      <c r="G116" s="106" t="s">
        <v>293</v>
      </c>
      <c r="H116" s="106" t="s">
        <v>294</v>
      </c>
      <c r="I116" s="74"/>
      <c r="J116" s="106" t="s">
        <v>295</v>
      </c>
      <c r="K116" s="106" t="s">
        <v>296</v>
      </c>
      <c r="L116" s="106" t="s">
        <v>297</v>
      </c>
      <c r="M116" s="106" t="s">
        <v>298</v>
      </c>
      <c r="N116" s="106" t="s">
        <v>299</v>
      </c>
      <c r="O116" s="104"/>
    </row>
    <row r="117" spans="1:15" ht="15.75" customHeight="1">
      <c r="A117" s="68" t="s">
        <v>161</v>
      </c>
      <c r="B117" s="374">
        <v>0.02</v>
      </c>
      <c r="C117" s="374">
        <v>0.02</v>
      </c>
      <c r="D117" s="374">
        <v>0.01</v>
      </c>
      <c r="E117" s="374">
        <v>0</v>
      </c>
      <c r="F117" s="374">
        <v>-0.01</v>
      </c>
      <c r="G117" s="374">
        <v>-0.02</v>
      </c>
      <c r="H117" s="374">
        <v>-0.02</v>
      </c>
      <c r="I117" s="74"/>
      <c r="J117" s="374">
        <v>-0.02</v>
      </c>
      <c r="K117" s="374">
        <v>-0.01</v>
      </c>
      <c r="L117" s="374">
        <v>0</v>
      </c>
      <c r="M117" s="374">
        <v>0.01</v>
      </c>
      <c r="N117" s="374">
        <v>0.02</v>
      </c>
      <c r="O117" s="108">
        <f>SUM(B117:N117)</f>
        <v>0</v>
      </c>
    </row>
    <row r="118" spans="1:15" ht="15.75" customHeight="1">
      <c r="A118" s="68" t="s">
        <v>162</v>
      </c>
      <c r="B118" s="374">
        <v>-0.03</v>
      </c>
      <c r="C118" s="374">
        <v>-0.03</v>
      </c>
      <c r="D118" s="374">
        <v>-0.01</v>
      </c>
      <c r="E118" s="374">
        <v>0.01</v>
      </c>
      <c r="F118" s="374">
        <v>0.02</v>
      </c>
      <c r="G118" s="374">
        <v>0.03</v>
      </c>
      <c r="H118" s="374">
        <v>0.03</v>
      </c>
      <c r="I118" s="74"/>
      <c r="J118" s="374">
        <v>0.03</v>
      </c>
      <c r="K118" s="374">
        <v>0.01</v>
      </c>
      <c r="L118" s="374">
        <v>-0.01</v>
      </c>
      <c r="M118" s="374">
        <v>-0.02</v>
      </c>
      <c r="N118" s="374">
        <v>-0.03</v>
      </c>
      <c r="O118" s="108">
        <f>SUM(B118:N118)</f>
        <v>0</v>
      </c>
    </row>
    <row r="119" spans="1:15" ht="15.75" customHeight="1">
      <c r="A119" s="68" t="s">
        <v>163</v>
      </c>
      <c r="B119" s="374">
        <v>-0.02</v>
      </c>
      <c r="C119" s="374">
        <v>-0.02</v>
      </c>
      <c r="D119" s="374">
        <v>-0.01</v>
      </c>
      <c r="E119" s="374">
        <v>0.01</v>
      </c>
      <c r="F119" s="374">
        <v>0.02</v>
      </c>
      <c r="G119" s="374">
        <v>0.02</v>
      </c>
      <c r="H119" s="374">
        <v>0.02</v>
      </c>
      <c r="I119" s="74"/>
      <c r="J119" s="374">
        <v>0.02</v>
      </c>
      <c r="K119" s="374">
        <v>0</v>
      </c>
      <c r="L119" s="374">
        <v>-0.01</v>
      </c>
      <c r="M119" s="374">
        <v>-0.01</v>
      </c>
      <c r="N119" s="374">
        <v>-0.02</v>
      </c>
      <c r="O119" s="108">
        <f>SUM(B119:N119)</f>
        <v>0</v>
      </c>
    </row>
    <row r="120" spans="1:15" ht="15.75" customHeight="1">
      <c r="A120" s="68" t="s">
        <v>165</v>
      </c>
      <c r="B120" s="374">
        <v>0</v>
      </c>
      <c r="C120" s="374">
        <v>0</v>
      </c>
      <c r="D120" s="374">
        <v>0</v>
      </c>
      <c r="E120" s="374">
        <v>0</v>
      </c>
      <c r="F120" s="374">
        <v>0</v>
      </c>
      <c r="G120" s="374">
        <v>0</v>
      </c>
      <c r="H120" s="374">
        <v>0</v>
      </c>
      <c r="I120" s="74"/>
      <c r="J120" s="374">
        <v>0</v>
      </c>
      <c r="K120" s="374">
        <v>0</v>
      </c>
      <c r="L120" s="374">
        <v>0</v>
      </c>
      <c r="M120" s="374">
        <v>0</v>
      </c>
      <c r="N120" s="374">
        <v>0</v>
      </c>
      <c r="O120" s="108">
        <f>SUM(B120:N120)</f>
        <v>0</v>
      </c>
    </row>
    <row r="121" spans="1:15" ht="15.75" customHeight="1">
      <c r="A121" s="68" t="s">
        <v>166</v>
      </c>
      <c r="B121" s="374">
        <v>-0.02</v>
      </c>
      <c r="C121" s="374">
        <v>-0.02</v>
      </c>
      <c r="D121" s="374">
        <v>-0.01</v>
      </c>
      <c r="E121" s="374">
        <v>-0.01</v>
      </c>
      <c r="F121" s="374">
        <v>0.01</v>
      </c>
      <c r="G121" s="374">
        <v>0.03</v>
      </c>
      <c r="H121" s="374">
        <v>0.03</v>
      </c>
      <c r="I121" s="74"/>
      <c r="J121" s="374">
        <v>0.02</v>
      </c>
      <c r="K121" s="374">
        <v>0.01</v>
      </c>
      <c r="L121" s="374">
        <v>-0.01</v>
      </c>
      <c r="M121" s="374">
        <v>-0.01</v>
      </c>
      <c r="N121" s="374">
        <v>-0.02</v>
      </c>
      <c r="O121" s="108">
        <f>SUM(B121:N121)</f>
        <v>0</v>
      </c>
    </row>
    <row r="122" spans="1:15" ht="15.75" customHeight="1">
      <c r="A122" s="45" t="s">
        <v>304</v>
      </c>
      <c r="B122" s="74">
        <f t="shared" ref="B122:H122" si="5">SUMPRODUCT(B117:B121,$C$23:$C$27)/SUM($C$23:$C$27)</f>
        <v>6.4555539952253901E-3</v>
      </c>
      <c r="C122" s="74">
        <f t="shared" si="5"/>
        <v>6.4555539952253901E-3</v>
      </c>
      <c r="D122" s="74">
        <f t="shared" si="5"/>
        <v>3.6652155596124149E-3</v>
      </c>
      <c r="E122" s="74">
        <f t="shared" si="5"/>
        <v>2.5923325375649489E-3</v>
      </c>
      <c r="F122" s="74">
        <f t="shared" si="5"/>
        <v>-8.2432242662547404E-4</v>
      </c>
      <c r="G122" s="74">
        <f t="shared" si="5"/>
        <v>-6.2069933998033988E-3</v>
      </c>
      <c r="H122" s="74">
        <f t="shared" si="5"/>
        <v>-6.2069933998033988E-3</v>
      </c>
      <c r="I122" s="74"/>
      <c r="J122" s="74">
        <f>SUMPRODUCT(J117:J121,$C$23:$C$27)/SUM($C$23:$C$27)</f>
        <v>-6.4555539952253901E-3</v>
      </c>
      <c r="K122" s="74">
        <f>SUMPRODUCT(K117:K121,$C$23:$C$27)/SUM($C$23:$C$27)</f>
        <v>-5.6312315685999158E-3</v>
      </c>
      <c r="L122" s="74">
        <f>SUMPRODUCT(L117:L121,$C$23:$C$27)/SUM($C$23:$C$27)</f>
        <v>-3.0894537284089315E-3</v>
      </c>
      <c r="M122" s="74">
        <f>SUMPRODUCT(M117:M121,$C$23:$C$27)/SUM($C$23:$C$27)</f>
        <v>2.7903384356129757E-3</v>
      </c>
      <c r="N122" s="74">
        <f>SUMPRODUCT(N117:N121,$C$23:$C$27)/SUM($C$23:$C$27)</f>
        <v>6.4555539952253901E-3</v>
      </c>
      <c r="O122" s="104"/>
    </row>
    <row r="123" spans="1:15" ht="15.75" customHeight="1">
      <c r="A123" s="45"/>
      <c r="B123" s="74"/>
      <c r="C123" s="74"/>
      <c r="D123" s="74"/>
      <c r="E123" s="74"/>
      <c r="F123" s="74"/>
      <c r="G123" s="74"/>
      <c r="H123" s="74"/>
      <c r="I123" s="74"/>
      <c r="J123" s="74"/>
      <c r="K123" s="74"/>
      <c r="L123" s="74"/>
      <c r="M123" s="74"/>
      <c r="N123" s="74"/>
      <c r="O123" s="104"/>
    </row>
    <row r="124" spans="1:15" ht="9.75" customHeight="1">
      <c r="A124" s="7"/>
      <c r="B124" s="7"/>
      <c r="C124" s="7"/>
      <c r="D124" s="7"/>
      <c r="E124" s="7"/>
      <c r="F124" s="7"/>
      <c r="G124" s="7"/>
      <c r="H124" s="7"/>
      <c r="I124" s="7"/>
      <c r="J124" s="7"/>
      <c r="K124" s="7"/>
      <c r="L124" s="7"/>
      <c r="M124" s="7"/>
      <c r="N124" s="7"/>
      <c r="O124" s="7"/>
    </row>
    <row r="125" spans="1:15" ht="21.75" customHeight="1">
      <c r="A125" s="64" t="s">
        <v>305</v>
      </c>
      <c r="B125" s="64"/>
      <c r="C125" s="8"/>
      <c r="D125" s="8"/>
      <c r="E125" s="8"/>
      <c r="F125" s="8"/>
      <c r="G125" s="8"/>
      <c r="H125" s="8"/>
      <c r="I125" s="8"/>
      <c r="J125" s="8"/>
      <c r="K125" s="8"/>
      <c r="L125" s="8"/>
      <c r="M125" s="8"/>
      <c r="N125" s="8"/>
      <c r="O125" s="8"/>
    </row>
    <row r="126" spans="1:15" ht="15.75" customHeight="1">
      <c r="A126" s="68" t="s">
        <v>6</v>
      </c>
      <c r="B126" s="88" t="s">
        <v>306</v>
      </c>
      <c r="C126" s="8"/>
      <c r="D126" s="8"/>
      <c r="E126" s="8"/>
      <c r="F126" s="8"/>
      <c r="G126" s="8"/>
      <c r="H126" s="8"/>
      <c r="I126" s="8"/>
      <c r="J126" s="8"/>
      <c r="K126" s="8"/>
      <c r="L126" s="8"/>
      <c r="M126" s="8"/>
      <c r="N126" s="8"/>
      <c r="O126" s="8"/>
    </row>
    <row r="127" spans="1:15" ht="15.75" customHeight="1">
      <c r="A127" s="65" t="s">
        <v>307</v>
      </c>
      <c r="B127" s="367">
        <v>34</v>
      </c>
      <c r="C127" s="8"/>
      <c r="D127" s="8"/>
      <c r="E127" s="8"/>
      <c r="F127" s="8"/>
      <c r="G127" s="8"/>
      <c r="H127" s="8"/>
      <c r="I127" s="8"/>
      <c r="J127" s="8"/>
      <c r="K127" s="8"/>
      <c r="L127" s="8"/>
      <c r="M127" s="8"/>
      <c r="N127" s="8"/>
      <c r="O127" s="8"/>
    </row>
    <row r="128" spans="1:15" ht="15.75" customHeight="1">
      <c r="A128" s="65" t="s">
        <v>308</v>
      </c>
      <c r="B128" s="85">
        <v>274</v>
      </c>
      <c r="C128" s="8"/>
      <c r="D128" s="8"/>
      <c r="E128" s="8"/>
      <c r="F128" s="8"/>
      <c r="G128" s="8"/>
      <c r="H128" s="8"/>
      <c r="I128" s="8"/>
      <c r="J128" s="8"/>
      <c r="K128" s="8"/>
      <c r="L128" s="8"/>
      <c r="M128" s="8"/>
      <c r="N128" s="8"/>
      <c r="O128" s="8"/>
    </row>
    <row r="129" spans="1:15" ht="15.75" customHeight="1">
      <c r="A129" s="65" t="s">
        <v>309</v>
      </c>
      <c r="B129" s="85">
        <f>ROUND(B26*B73,0)</f>
        <v>5</v>
      </c>
      <c r="C129" s="8"/>
      <c r="D129" s="8"/>
      <c r="E129" s="8"/>
      <c r="F129" s="8"/>
      <c r="G129" s="8"/>
      <c r="H129" s="8"/>
      <c r="I129" s="8"/>
      <c r="J129" s="8"/>
      <c r="K129" s="8"/>
      <c r="L129" s="8"/>
      <c r="M129" s="8"/>
      <c r="N129" s="8"/>
      <c r="O129" s="8"/>
    </row>
    <row r="130" spans="1:15" ht="15.75" customHeight="1">
      <c r="A130" s="65" t="s">
        <v>310</v>
      </c>
      <c r="B130" s="85">
        <f>ROUND(B58*B74,0)</f>
        <v>30</v>
      </c>
      <c r="C130" s="8"/>
      <c r="D130" s="8"/>
      <c r="E130" s="8"/>
      <c r="F130" s="8"/>
      <c r="G130" s="8"/>
      <c r="H130" s="8"/>
      <c r="I130" s="8"/>
      <c r="J130" s="8"/>
      <c r="K130" s="8"/>
      <c r="L130" s="8"/>
      <c r="M130" s="8"/>
      <c r="N130" s="8"/>
      <c r="O130" s="8"/>
    </row>
    <row r="131" spans="1:15" ht="15.75" customHeight="1">
      <c r="A131" s="39" t="s">
        <v>311</v>
      </c>
      <c r="B131" s="375">
        <v>41</v>
      </c>
      <c r="C131" s="8"/>
      <c r="D131" s="8"/>
      <c r="E131" s="8"/>
      <c r="F131" s="8"/>
      <c r="G131" s="8"/>
      <c r="H131" s="8"/>
      <c r="I131" s="8"/>
      <c r="J131" s="8"/>
      <c r="K131" s="8"/>
      <c r="L131" s="8"/>
      <c r="M131" s="8"/>
      <c r="N131" s="8"/>
      <c r="O131" s="8"/>
    </row>
    <row r="132" spans="1:15" ht="15.75" customHeight="1">
      <c r="A132" s="71" t="s">
        <v>13</v>
      </c>
      <c r="B132" s="72">
        <f>SUM(B127:B131)</f>
        <v>384</v>
      </c>
      <c r="C132" s="8"/>
      <c r="D132" s="8"/>
      <c r="E132" s="8"/>
      <c r="F132" s="8"/>
      <c r="G132" s="8"/>
      <c r="H132" s="8"/>
      <c r="I132" s="8"/>
      <c r="J132" s="8"/>
      <c r="K132" s="8"/>
      <c r="L132" s="8"/>
      <c r="M132" s="8"/>
      <c r="N132" s="8"/>
      <c r="O132" s="8"/>
    </row>
    <row r="133" spans="1:15" ht="6" customHeight="1">
      <c r="A133" s="7"/>
      <c r="B133" s="7"/>
      <c r="C133" s="7"/>
      <c r="D133" s="7"/>
      <c r="E133" s="7"/>
      <c r="F133" s="7"/>
      <c r="G133" s="7"/>
      <c r="H133" s="7"/>
      <c r="I133" s="7"/>
      <c r="J133" s="7"/>
      <c r="K133" s="7"/>
      <c r="L133" s="7"/>
      <c r="M133" s="7"/>
      <c r="N133" s="7"/>
      <c r="O133" s="7"/>
    </row>
    <row r="134" spans="1:15" ht="15.75" customHeight="1">
      <c r="A134" s="65" t="s">
        <v>312</v>
      </c>
      <c r="B134" s="367">
        <v>1733</v>
      </c>
      <c r="C134" s="8"/>
      <c r="D134" s="8"/>
      <c r="E134" s="8"/>
      <c r="F134" s="8"/>
      <c r="G134" s="8"/>
      <c r="H134" s="8"/>
      <c r="I134" s="8"/>
      <c r="J134" s="8"/>
      <c r="K134" s="8"/>
      <c r="L134" s="8"/>
      <c r="M134" s="8"/>
      <c r="N134" s="8"/>
      <c r="O134" s="8"/>
    </row>
    <row r="135" spans="1:15" ht="15.75" customHeight="1">
      <c r="A135" s="39" t="s">
        <v>313</v>
      </c>
      <c r="B135" s="375">
        <v>-394</v>
      </c>
      <c r="C135" s="8"/>
      <c r="D135" s="8"/>
      <c r="E135" s="8"/>
      <c r="F135" s="8"/>
      <c r="G135" s="8"/>
      <c r="H135" s="8"/>
      <c r="I135" s="8"/>
      <c r="J135" s="8"/>
      <c r="K135" s="8"/>
      <c r="L135" s="8"/>
      <c r="M135" s="8"/>
      <c r="N135" s="8"/>
      <c r="O135" s="8"/>
    </row>
    <row r="136" spans="1:15" ht="15.75" customHeight="1">
      <c r="A136" s="38" t="s">
        <v>314</v>
      </c>
      <c r="B136" s="109">
        <f>B134+B135</f>
        <v>1339</v>
      </c>
      <c r="C136" s="8"/>
      <c r="D136" s="8"/>
      <c r="E136" s="8"/>
      <c r="F136" s="8"/>
      <c r="G136" s="8"/>
      <c r="H136" s="8"/>
      <c r="I136" s="8"/>
      <c r="J136" s="8"/>
      <c r="K136" s="8"/>
      <c r="L136" s="8"/>
      <c r="M136" s="8"/>
      <c r="N136" s="8"/>
      <c r="O136" s="8"/>
    </row>
    <row r="137" spans="1:15" ht="15.75" customHeight="1">
      <c r="A137" s="65" t="s">
        <v>315</v>
      </c>
      <c r="B137" s="367">
        <v>50</v>
      </c>
      <c r="C137" s="8"/>
      <c r="D137" s="8"/>
      <c r="E137" s="8"/>
      <c r="F137" s="8"/>
      <c r="G137" s="8"/>
      <c r="H137" s="8"/>
      <c r="I137" s="8"/>
      <c r="J137" s="8"/>
      <c r="K137" s="8"/>
      <c r="L137" s="8"/>
      <c r="M137" s="8"/>
      <c r="N137" s="8"/>
      <c r="O137" s="8"/>
    </row>
    <row r="138" spans="1:15" ht="15.75" customHeight="1">
      <c r="A138" s="71" t="s">
        <v>316</v>
      </c>
      <c r="B138" s="72">
        <f>B132+B136+B137</f>
        <v>1773</v>
      </c>
      <c r="C138" s="8"/>
      <c r="D138" s="8"/>
      <c r="E138" s="8"/>
      <c r="F138" s="8"/>
      <c r="G138" s="8"/>
      <c r="H138" s="8"/>
      <c r="I138" s="8"/>
      <c r="J138" s="8"/>
      <c r="K138" s="8"/>
      <c r="L138" s="8"/>
      <c r="M138" s="8"/>
      <c r="N138" s="8"/>
      <c r="O138" s="8"/>
    </row>
    <row r="139" spans="1:15" ht="6" customHeight="1">
      <c r="A139" s="7"/>
      <c r="B139" s="7"/>
      <c r="C139" s="7"/>
      <c r="D139" s="7"/>
      <c r="E139" s="7"/>
      <c r="F139" s="7"/>
      <c r="G139" s="7"/>
      <c r="H139" s="7"/>
      <c r="I139" s="7"/>
      <c r="J139" s="7"/>
      <c r="K139" s="7"/>
      <c r="L139" s="7"/>
      <c r="M139" s="7"/>
      <c r="N139" s="7"/>
      <c r="O139" s="7"/>
    </row>
    <row r="140" spans="1:15" ht="15.75" customHeight="1">
      <c r="A140" s="68" t="s">
        <v>28</v>
      </c>
      <c r="B140" s="110"/>
      <c r="C140" s="8"/>
      <c r="D140" s="8"/>
      <c r="E140" s="8"/>
      <c r="F140" s="8"/>
      <c r="G140" s="8"/>
      <c r="H140" s="8"/>
      <c r="I140" s="8"/>
      <c r="J140" s="8"/>
      <c r="K140" s="8"/>
      <c r="L140" s="8"/>
      <c r="M140" s="8"/>
      <c r="N140" s="8"/>
      <c r="O140" s="8"/>
    </row>
    <row r="141" spans="1:15" ht="15.75" customHeight="1">
      <c r="A141" s="65" t="s">
        <v>317</v>
      </c>
      <c r="B141" s="85">
        <f>ROUND(B29*(1-B43)*B69/365,0)</f>
        <v>201</v>
      </c>
      <c r="C141" s="8"/>
      <c r="D141" s="8"/>
      <c r="E141" s="8"/>
      <c r="F141" s="8"/>
      <c r="G141" s="8"/>
      <c r="H141" s="8"/>
      <c r="I141" s="8"/>
      <c r="J141" s="8"/>
      <c r="K141" s="8"/>
      <c r="L141" s="8"/>
      <c r="M141" s="8"/>
      <c r="N141" s="8"/>
      <c r="O141" s="8"/>
    </row>
    <row r="142" spans="1:15" ht="15.75" customHeight="1">
      <c r="A142" s="65" t="s">
        <v>318</v>
      </c>
      <c r="B142" s="367">
        <v>25</v>
      </c>
      <c r="C142" s="8"/>
      <c r="D142" s="8"/>
      <c r="E142" s="8"/>
      <c r="F142" s="8"/>
      <c r="G142" s="8"/>
      <c r="H142" s="8"/>
      <c r="I142" s="8"/>
      <c r="J142" s="8"/>
      <c r="K142" s="8"/>
      <c r="L142" s="8"/>
      <c r="M142" s="8"/>
      <c r="N142" s="8"/>
      <c r="O142" s="8"/>
    </row>
    <row r="143" spans="1:15" ht="15.75" customHeight="1">
      <c r="A143" s="65" t="s">
        <v>319</v>
      </c>
      <c r="B143" s="85">
        <f>ROUND(B86*0.25,0)</f>
        <v>200</v>
      </c>
      <c r="C143" s="8"/>
      <c r="D143" s="8"/>
      <c r="E143" s="8"/>
      <c r="F143" s="8"/>
      <c r="G143" s="8"/>
      <c r="H143" s="8"/>
      <c r="I143" s="8"/>
      <c r="J143" s="8"/>
      <c r="K143" s="8"/>
      <c r="L143" s="8"/>
      <c r="M143" s="8"/>
      <c r="N143" s="8"/>
      <c r="O143" s="8"/>
    </row>
    <row r="144" spans="1:15" ht="15.75" customHeight="1">
      <c r="A144" s="71" t="s">
        <v>33</v>
      </c>
      <c r="B144" s="72">
        <f>SUM(B141:B143)</f>
        <v>426</v>
      </c>
      <c r="C144" s="8"/>
      <c r="D144" s="8"/>
      <c r="E144" s="8"/>
      <c r="F144" s="8"/>
      <c r="G144" s="8"/>
      <c r="H144" s="8"/>
      <c r="I144" s="8"/>
      <c r="J144" s="8"/>
      <c r="K144" s="8"/>
      <c r="L144" s="8"/>
      <c r="M144" s="8"/>
      <c r="N144" s="8"/>
      <c r="O144" s="8"/>
    </row>
    <row r="145" spans="1:15" ht="6" customHeight="1">
      <c r="A145" s="7"/>
      <c r="B145" s="7"/>
      <c r="C145" s="7"/>
      <c r="D145" s="7"/>
      <c r="E145" s="7"/>
      <c r="F145" s="7"/>
      <c r="G145" s="7"/>
      <c r="H145" s="7"/>
      <c r="I145" s="7"/>
      <c r="J145" s="7"/>
      <c r="K145" s="7"/>
      <c r="L145" s="7"/>
      <c r="M145" s="7"/>
      <c r="N145" s="7"/>
      <c r="O145" s="7"/>
    </row>
    <row r="146" spans="1:15" ht="15.75" customHeight="1">
      <c r="A146" s="65" t="s">
        <v>320</v>
      </c>
      <c r="B146" s="85">
        <f>B86-B143</f>
        <v>600</v>
      </c>
      <c r="C146" s="8"/>
      <c r="D146" s="8"/>
      <c r="E146" s="8"/>
      <c r="F146" s="8"/>
      <c r="G146" s="8"/>
      <c r="H146" s="8"/>
      <c r="I146" s="8"/>
      <c r="J146" s="8"/>
      <c r="K146" s="8"/>
      <c r="L146" s="8"/>
      <c r="M146" s="8"/>
      <c r="N146" s="8"/>
      <c r="O146" s="8"/>
    </row>
    <row r="147" spans="1:15" ht="15.75" customHeight="1">
      <c r="A147" s="71" t="s">
        <v>321</v>
      </c>
      <c r="B147" s="72">
        <f>B144+B146</f>
        <v>1026</v>
      </c>
      <c r="C147" s="8"/>
      <c r="D147" s="8"/>
      <c r="E147" s="8"/>
      <c r="F147" s="8"/>
      <c r="G147" s="8"/>
      <c r="H147" s="8"/>
      <c r="I147" s="8"/>
      <c r="J147" s="8"/>
      <c r="K147" s="8"/>
      <c r="L147" s="8"/>
      <c r="M147" s="8"/>
      <c r="N147" s="8"/>
      <c r="O147" s="8"/>
    </row>
    <row r="148" spans="1:15" ht="6" customHeight="1">
      <c r="A148" s="7"/>
      <c r="B148" s="7"/>
      <c r="C148" s="7"/>
      <c r="D148" s="7"/>
      <c r="E148" s="7"/>
      <c r="F148" s="7"/>
      <c r="G148" s="7"/>
      <c r="H148" s="7"/>
      <c r="I148" s="7"/>
      <c r="J148" s="7"/>
      <c r="K148" s="7"/>
      <c r="L148" s="7"/>
      <c r="M148" s="7"/>
      <c r="N148" s="7"/>
      <c r="O148" s="7"/>
    </row>
    <row r="149" spans="1:15" ht="15.75" customHeight="1">
      <c r="A149" s="68" t="s">
        <v>38</v>
      </c>
      <c r="B149" s="110"/>
      <c r="C149" s="8"/>
      <c r="D149" s="8"/>
      <c r="E149" s="8"/>
      <c r="F149" s="8"/>
      <c r="G149" s="8"/>
      <c r="H149" s="8"/>
      <c r="I149" s="8"/>
      <c r="J149" s="8"/>
      <c r="K149" s="8"/>
      <c r="L149" s="8"/>
      <c r="M149" s="8"/>
      <c r="N149" s="8"/>
      <c r="O149" s="8"/>
    </row>
    <row r="150" spans="1:15" ht="15.75" customHeight="1">
      <c r="A150" s="65" t="s">
        <v>322</v>
      </c>
      <c r="B150" s="72">
        <f>B138-B147</f>
        <v>747</v>
      </c>
      <c r="C150" s="8"/>
      <c r="D150" s="8"/>
      <c r="E150" s="8"/>
      <c r="F150" s="8"/>
      <c r="G150" s="8"/>
      <c r="H150" s="8"/>
      <c r="I150" s="8"/>
      <c r="J150" s="8"/>
      <c r="K150" s="8"/>
      <c r="L150" s="8"/>
      <c r="M150" s="8"/>
      <c r="N150" s="8"/>
      <c r="O150" s="8"/>
    </row>
    <row r="151" spans="1:15" ht="15.75" customHeight="1">
      <c r="A151" s="71" t="s">
        <v>323</v>
      </c>
      <c r="B151" s="72">
        <f>B147+B150</f>
        <v>1773</v>
      </c>
      <c r="C151" s="8"/>
      <c r="D151" s="8"/>
      <c r="E151" s="8"/>
      <c r="F151" s="8"/>
      <c r="G151" s="8"/>
      <c r="H151" s="8"/>
      <c r="I151" s="8"/>
      <c r="J151" s="8"/>
      <c r="K151" s="8"/>
      <c r="L151" s="8"/>
      <c r="M151" s="8"/>
      <c r="N151" s="8"/>
      <c r="O151" s="8"/>
    </row>
    <row r="152" spans="1:15" ht="6" customHeight="1">
      <c r="A152" s="7"/>
      <c r="B152" s="7"/>
      <c r="C152" s="7"/>
      <c r="D152" s="7"/>
      <c r="E152" s="7"/>
      <c r="F152" s="7"/>
      <c r="G152" s="7"/>
      <c r="H152" s="7"/>
      <c r="I152" s="7"/>
      <c r="J152" s="7"/>
      <c r="K152" s="7"/>
      <c r="L152" s="7"/>
      <c r="M152" s="7"/>
      <c r="N152" s="7"/>
      <c r="O152" s="7"/>
    </row>
    <row r="153" spans="1:15" ht="15.75" customHeight="1">
      <c r="A153" s="45" t="s">
        <v>44</v>
      </c>
      <c r="B153" s="111">
        <f>B138-B151</f>
        <v>0</v>
      </c>
      <c r="C153" s="8"/>
      <c r="D153" s="8"/>
      <c r="E153" s="8"/>
      <c r="F153" s="8"/>
      <c r="G153" s="8"/>
      <c r="H153" s="8"/>
      <c r="I153" s="8"/>
      <c r="J153" s="8"/>
      <c r="K153" s="8"/>
      <c r="L153" s="8"/>
      <c r="M153" s="8"/>
      <c r="N153" s="8"/>
      <c r="O153" s="8"/>
    </row>
    <row r="154" spans="1:15" ht="9.75" customHeight="1">
      <c r="A154" s="7"/>
      <c r="B154" s="7"/>
      <c r="C154" s="7"/>
      <c r="D154" s="7"/>
      <c r="E154" s="7"/>
      <c r="F154" s="7"/>
      <c r="G154" s="7"/>
      <c r="H154" s="7"/>
      <c r="I154" s="7"/>
      <c r="J154" s="7"/>
      <c r="K154" s="7"/>
      <c r="L154" s="7"/>
      <c r="M154" s="7"/>
      <c r="N154" s="7"/>
      <c r="O154" s="7"/>
    </row>
    <row r="155" spans="1:15" ht="21.75" customHeight="1">
      <c r="A155" s="64" t="s">
        <v>324</v>
      </c>
      <c r="B155" s="64"/>
      <c r="C155" s="64"/>
      <c r="D155" s="64"/>
      <c r="E155" s="64"/>
      <c r="F155" s="64"/>
      <c r="G155" s="64"/>
      <c r="H155" s="64"/>
      <c r="I155" s="112" t="s">
        <v>325</v>
      </c>
      <c r="J155" s="8"/>
      <c r="K155" s="8"/>
      <c r="L155" s="8"/>
      <c r="M155" s="8"/>
      <c r="N155" s="8"/>
      <c r="O155" s="8"/>
    </row>
    <row r="156" spans="1:15" ht="15.75" customHeight="1">
      <c r="A156" s="68" t="s">
        <v>326</v>
      </c>
      <c r="B156" s="69" t="s">
        <v>327</v>
      </c>
      <c r="C156" s="69" t="s">
        <v>328</v>
      </c>
      <c r="D156" s="69" t="s">
        <v>329</v>
      </c>
      <c r="E156" s="69" t="s">
        <v>330</v>
      </c>
      <c r="F156" s="69" t="s">
        <v>331</v>
      </c>
      <c r="G156" s="113" t="s">
        <v>332</v>
      </c>
      <c r="H156" s="69" t="s">
        <v>176</v>
      </c>
      <c r="I156" s="12" t="s">
        <v>327</v>
      </c>
      <c r="J156" s="12" t="s">
        <v>328</v>
      </c>
      <c r="K156" s="12" t="s">
        <v>329</v>
      </c>
      <c r="L156" s="12" t="s">
        <v>330</v>
      </c>
      <c r="M156" s="12" t="s">
        <v>331</v>
      </c>
      <c r="N156" s="12" t="s">
        <v>176</v>
      </c>
      <c r="O156" s="8"/>
    </row>
    <row r="157" spans="1:15" ht="15.75" customHeight="1">
      <c r="A157" s="65" t="s">
        <v>333</v>
      </c>
      <c r="B157" s="376">
        <v>0.15</v>
      </c>
      <c r="C157" s="376">
        <v>0.25</v>
      </c>
      <c r="D157" s="376">
        <v>0.35</v>
      </c>
      <c r="E157" s="377">
        <v>0.15</v>
      </c>
      <c r="F157" s="376">
        <v>0.1</v>
      </c>
      <c r="G157" s="114">
        <f>SUM(B157:F157)</f>
        <v>1</v>
      </c>
      <c r="H157" s="115" t="s">
        <v>334</v>
      </c>
      <c r="I157" s="12">
        <v>0.15</v>
      </c>
      <c r="J157" s="12">
        <v>0.25</v>
      </c>
      <c r="K157" s="12">
        <v>0.35</v>
      </c>
      <c r="L157" s="12">
        <v>0.15</v>
      </c>
      <c r="M157" s="12">
        <v>0.1</v>
      </c>
      <c r="N157" s="12" t="s">
        <v>335</v>
      </c>
      <c r="O157" s="8"/>
    </row>
    <row r="158" spans="1:15" ht="15.75" customHeight="1">
      <c r="A158" s="65" t="s">
        <v>336</v>
      </c>
      <c r="B158" s="378">
        <v>1.25</v>
      </c>
      <c r="C158" s="378">
        <v>1.1200000000000001</v>
      </c>
      <c r="D158" s="378">
        <v>1</v>
      </c>
      <c r="E158" s="379">
        <v>1.02</v>
      </c>
      <c r="F158" s="378">
        <v>1.1000000000000001</v>
      </c>
      <c r="G158" s="116">
        <f t="shared" ref="G158:G167" si="6">IF($B$182="Hyper Bear",B158,IF($B$182="Bear",C158,IF($B$182="Base",D158,IF($B$182="Bull",E158,F158))))</f>
        <v>1</v>
      </c>
      <c r="H158" s="115" t="s">
        <v>337</v>
      </c>
      <c r="I158" s="12">
        <v>1.25</v>
      </c>
      <c r="J158" s="12">
        <v>1.1200000000000001</v>
      </c>
      <c r="K158" s="12">
        <v>1</v>
      </c>
      <c r="L158" s="12">
        <v>1.02</v>
      </c>
      <c r="M158" s="12">
        <v>1.1000000000000001</v>
      </c>
      <c r="N158" s="12"/>
      <c r="O158" s="8"/>
    </row>
    <row r="159" spans="1:15" ht="15.75" customHeight="1">
      <c r="A159" s="65" t="s">
        <v>144</v>
      </c>
      <c r="B159" s="380">
        <v>5.0000000000000001E-3</v>
      </c>
      <c r="C159" s="380">
        <v>1.4999999999999999E-2</v>
      </c>
      <c r="D159" s="380">
        <v>2.5000000000000001E-2</v>
      </c>
      <c r="E159" s="381">
        <v>2.5000000000000001E-2</v>
      </c>
      <c r="F159" s="380">
        <v>2.5000000000000001E-2</v>
      </c>
      <c r="G159" s="117">
        <f t="shared" si="6"/>
        <v>2.5000000000000001E-2</v>
      </c>
      <c r="H159" s="115" t="s">
        <v>338</v>
      </c>
      <c r="I159" s="12">
        <v>5.0000000000000001E-3</v>
      </c>
      <c r="J159" s="12">
        <v>1.4999999999999999E-2</v>
      </c>
      <c r="K159" s="12">
        <v>2.5000000000000001E-2</v>
      </c>
      <c r="L159" s="12">
        <v>2.5000000000000001E-2</v>
      </c>
      <c r="M159" s="12">
        <v>2.5000000000000001E-2</v>
      </c>
      <c r="N159" s="12" t="s">
        <v>339</v>
      </c>
      <c r="O159" s="8"/>
    </row>
    <row r="160" spans="1:15" ht="15.75" customHeight="1">
      <c r="A160" s="65" t="s">
        <v>340</v>
      </c>
      <c r="B160" s="382">
        <v>2.5000000000000001E-2</v>
      </c>
      <c r="C160" s="382">
        <v>1.2500000000000001E-2</v>
      </c>
      <c r="D160" s="383">
        <v>0</v>
      </c>
      <c r="E160" s="384">
        <v>-5.0000000000000001E-3</v>
      </c>
      <c r="F160" s="382">
        <v>-0.01</v>
      </c>
      <c r="G160" s="118">
        <f t="shared" si="6"/>
        <v>0</v>
      </c>
      <c r="H160" s="115" t="s">
        <v>341</v>
      </c>
      <c r="I160" s="12">
        <v>2.5000000000000001E-2</v>
      </c>
      <c r="J160" s="12">
        <v>1.2500000000000001E-2</v>
      </c>
      <c r="K160" s="12">
        <v>0</v>
      </c>
      <c r="L160" s="12">
        <v>0</v>
      </c>
      <c r="M160" s="12">
        <v>0</v>
      </c>
      <c r="N160" s="12" t="s">
        <v>342</v>
      </c>
      <c r="O160" s="8"/>
    </row>
    <row r="161" spans="1:15" ht="15.75" customHeight="1">
      <c r="A161" s="65" t="s">
        <v>343</v>
      </c>
      <c r="B161" s="376">
        <v>0.15</v>
      </c>
      <c r="C161" s="376">
        <v>0.25</v>
      </c>
      <c r="D161" s="376">
        <v>0.4</v>
      </c>
      <c r="E161" s="377">
        <v>0.5</v>
      </c>
      <c r="F161" s="376">
        <v>0.55000000000000004</v>
      </c>
      <c r="G161" s="114">
        <f t="shared" si="6"/>
        <v>0.4</v>
      </c>
      <c r="H161" s="115" t="s">
        <v>344</v>
      </c>
      <c r="I161" s="12">
        <v>0.15</v>
      </c>
      <c r="J161" s="12">
        <v>0.25</v>
      </c>
      <c r="K161" s="12">
        <v>0.4</v>
      </c>
      <c r="L161" s="12">
        <v>0.5</v>
      </c>
      <c r="M161" s="12">
        <v>0.55000000000000004</v>
      </c>
      <c r="N161" s="12" t="s">
        <v>345</v>
      </c>
      <c r="O161" s="8"/>
    </row>
    <row r="162" spans="1:15" ht="15.75" customHeight="1">
      <c r="A162" s="65" t="s">
        <v>346</v>
      </c>
      <c r="B162" s="376">
        <v>0.2</v>
      </c>
      <c r="C162" s="376">
        <v>0.1</v>
      </c>
      <c r="D162" s="385">
        <v>0</v>
      </c>
      <c r="E162" s="386">
        <v>0</v>
      </c>
      <c r="F162" s="385">
        <v>0</v>
      </c>
      <c r="G162" s="119">
        <f t="shared" si="6"/>
        <v>0</v>
      </c>
      <c r="H162" s="115" t="s">
        <v>347</v>
      </c>
      <c r="I162" s="12">
        <v>0.2</v>
      </c>
      <c r="J162" s="12">
        <v>0.1</v>
      </c>
      <c r="K162" s="12">
        <v>0</v>
      </c>
      <c r="L162" s="12">
        <v>0</v>
      </c>
      <c r="M162" s="12">
        <v>0</v>
      </c>
      <c r="N162" s="12" t="s">
        <v>348</v>
      </c>
      <c r="O162" s="8"/>
    </row>
    <row r="163" spans="1:15" ht="15.75" customHeight="1">
      <c r="A163" s="65" t="s">
        <v>349</v>
      </c>
      <c r="B163" s="387">
        <v>0</v>
      </c>
      <c r="C163" s="387">
        <v>1</v>
      </c>
      <c r="D163" s="387">
        <v>2</v>
      </c>
      <c r="E163" s="388">
        <v>3</v>
      </c>
      <c r="F163" s="387">
        <v>4</v>
      </c>
      <c r="G163" s="120">
        <f t="shared" si="6"/>
        <v>2</v>
      </c>
      <c r="H163" s="115" t="s">
        <v>350</v>
      </c>
      <c r="I163" s="12">
        <v>0</v>
      </c>
      <c r="J163" s="12">
        <v>0</v>
      </c>
      <c r="K163" s="12">
        <v>0</v>
      </c>
      <c r="L163" s="12">
        <v>0</v>
      </c>
      <c r="M163" s="12">
        <v>0</v>
      </c>
      <c r="N163" s="12"/>
      <c r="O163" s="8"/>
    </row>
    <row r="164" spans="1:15" ht="15.75" customHeight="1">
      <c r="A164" s="65" t="s">
        <v>351</v>
      </c>
      <c r="B164" s="376">
        <v>0.05</v>
      </c>
      <c r="C164" s="376">
        <v>0.1</v>
      </c>
      <c r="D164" s="376">
        <v>0.25</v>
      </c>
      <c r="E164" s="377">
        <v>0.35</v>
      </c>
      <c r="F164" s="376">
        <v>0.45</v>
      </c>
      <c r="G164" s="114">
        <f t="shared" si="6"/>
        <v>0.25</v>
      </c>
      <c r="H164" s="115" t="s">
        <v>352</v>
      </c>
      <c r="I164" s="12">
        <v>0.05</v>
      </c>
      <c r="J164" s="12">
        <v>0.1</v>
      </c>
      <c r="K164" s="12">
        <v>0.25</v>
      </c>
      <c r="L164" s="12">
        <v>0.35</v>
      </c>
      <c r="M164" s="12">
        <v>0.45</v>
      </c>
      <c r="N164" s="12"/>
      <c r="O164" s="8"/>
    </row>
    <row r="165" spans="1:15" ht="15.75" customHeight="1">
      <c r="A165" s="65" t="s">
        <v>353</v>
      </c>
      <c r="B165" s="398">
        <v>3</v>
      </c>
      <c r="C165" s="398">
        <v>4</v>
      </c>
      <c r="D165" s="398">
        <v>5</v>
      </c>
      <c r="E165" s="399">
        <v>6</v>
      </c>
      <c r="F165" s="398">
        <v>7.5</v>
      </c>
      <c r="G165" s="400">
        <f t="shared" si="6"/>
        <v>5</v>
      </c>
      <c r="H165" s="115" t="s">
        <v>354</v>
      </c>
      <c r="I165" s="12">
        <v>3</v>
      </c>
      <c r="J165" s="12">
        <v>4</v>
      </c>
      <c r="K165" s="12">
        <v>5</v>
      </c>
      <c r="L165" s="12">
        <v>6</v>
      </c>
      <c r="M165" s="12">
        <v>7.5</v>
      </c>
      <c r="N165" s="12"/>
      <c r="O165" s="8"/>
    </row>
    <row r="166" spans="1:15" ht="15.75" customHeight="1">
      <c r="A166" s="65" t="s">
        <v>355</v>
      </c>
      <c r="B166" s="376">
        <v>0.4</v>
      </c>
      <c r="C166" s="376">
        <v>0.6</v>
      </c>
      <c r="D166" s="376">
        <v>1</v>
      </c>
      <c r="E166" s="377">
        <v>1</v>
      </c>
      <c r="F166" s="376">
        <v>1</v>
      </c>
      <c r="G166" s="114">
        <f t="shared" si="6"/>
        <v>1</v>
      </c>
      <c r="H166" s="115" t="s">
        <v>356</v>
      </c>
      <c r="I166" s="12">
        <v>0.4</v>
      </c>
      <c r="J166" s="12">
        <v>0.6</v>
      </c>
      <c r="K166" s="12">
        <v>1</v>
      </c>
      <c r="L166" s="12">
        <v>1</v>
      </c>
      <c r="M166" s="12">
        <v>1</v>
      </c>
      <c r="N166" s="12" t="s">
        <v>357</v>
      </c>
      <c r="O166" s="8"/>
    </row>
    <row r="167" spans="1:15" ht="15.75" customHeight="1">
      <c r="A167" s="65" t="s">
        <v>358</v>
      </c>
      <c r="B167" s="369">
        <v>50</v>
      </c>
      <c r="C167" s="369">
        <v>38</v>
      </c>
      <c r="D167" s="369">
        <v>30</v>
      </c>
      <c r="E167" s="401">
        <v>28</v>
      </c>
      <c r="F167" s="369">
        <v>25</v>
      </c>
      <c r="G167" s="402">
        <f t="shared" si="6"/>
        <v>30</v>
      </c>
      <c r="H167" s="115" t="s">
        <v>359</v>
      </c>
      <c r="I167" s="12">
        <v>50</v>
      </c>
      <c r="J167" s="12">
        <v>38</v>
      </c>
      <c r="K167" s="12">
        <v>30</v>
      </c>
      <c r="L167" s="12">
        <v>28</v>
      </c>
      <c r="M167" s="12">
        <v>25</v>
      </c>
      <c r="N167" s="12" t="s">
        <v>360</v>
      </c>
      <c r="O167" s="8"/>
    </row>
    <row r="168" spans="1:15" ht="12.75" customHeight="1">
      <c r="A168" s="8"/>
      <c r="B168" s="8"/>
      <c r="C168" s="8"/>
      <c r="D168" s="8"/>
      <c r="E168" s="8"/>
      <c r="F168" s="8"/>
      <c r="G168" s="8"/>
      <c r="H168" s="8"/>
      <c r="I168" s="8"/>
      <c r="J168" s="8"/>
      <c r="K168" s="8"/>
      <c r="L168" s="8"/>
      <c r="M168" s="8"/>
      <c r="N168" s="8"/>
      <c r="O168" s="8"/>
    </row>
    <row r="169" spans="1:15" ht="15.75" customHeight="1">
      <c r="A169" s="121" t="s">
        <v>361</v>
      </c>
      <c r="B169" s="122"/>
      <c r="C169" s="122"/>
      <c r="D169" s="122"/>
      <c r="E169" s="122"/>
      <c r="F169" s="122"/>
      <c r="G169" s="123"/>
      <c r="H169" s="124" t="s">
        <v>362</v>
      </c>
      <c r="I169" s="112" t="s">
        <v>363</v>
      </c>
      <c r="J169" s="8"/>
      <c r="K169" s="8"/>
      <c r="L169" s="8"/>
      <c r="M169" s="8"/>
      <c r="N169" s="8"/>
      <c r="O169" s="8"/>
    </row>
    <row r="170" spans="1:15" ht="13.5" customHeight="1">
      <c r="A170" s="39" t="s">
        <v>161</v>
      </c>
      <c r="B170" s="389">
        <v>0.75</v>
      </c>
      <c r="C170" s="389">
        <v>0.88</v>
      </c>
      <c r="D170" s="389">
        <v>1</v>
      </c>
      <c r="E170" s="389">
        <v>1.08</v>
      </c>
      <c r="F170" s="389">
        <v>1.1499999999999999</v>
      </c>
      <c r="G170" s="125">
        <f>IF($B$182="Hyper Bear",B170,IF($B$182="Bear",C170,IF($B$182="Base",D170,IF($B$182="Bull",E170,F170))))</f>
        <v>1</v>
      </c>
      <c r="H170" s="126" t="s">
        <v>364</v>
      </c>
      <c r="I170" s="127">
        <v>0.75</v>
      </c>
      <c r="J170" s="127">
        <v>0.88</v>
      </c>
      <c r="K170" s="127">
        <v>1</v>
      </c>
      <c r="L170" s="127">
        <v>1.08</v>
      </c>
      <c r="M170" s="127">
        <v>1.1499999999999999</v>
      </c>
      <c r="N170" s="127" t="s">
        <v>365</v>
      </c>
      <c r="O170" s="7"/>
    </row>
    <row r="171" spans="1:15" ht="12.75" customHeight="1">
      <c r="A171" s="107" t="s">
        <v>162</v>
      </c>
      <c r="B171" s="414">
        <v>0.35</v>
      </c>
      <c r="C171" s="390">
        <v>0.62</v>
      </c>
      <c r="D171" s="390">
        <v>1</v>
      </c>
      <c r="E171" s="390">
        <v>1.2</v>
      </c>
      <c r="F171" s="390">
        <v>1.45</v>
      </c>
      <c r="G171" s="125">
        <f>IF($B$182="Hyper Bear",B171,IF($B$182="Bear",C171,IF($B$182="Base",D171,IF($B$182="Bull",E171,F171))))</f>
        <v>1</v>
      </c>
      <c r="H171" s="128" t="s">
        <v>366</v>
      </c>
      <c r="I171" s="12">
        <v>0.35</v>
      </c>
      <c r="J171" s="12">
        <v>0.62</v>
      </c>
      <c r="K171" s="12">
        <v>1</v>
      </c>
      <c r="L171" s="12">
        <v>1.2</v>
      </c>
      <c r="M171" s="12">
        <v>1.45</v>
      </c>
      <c r="N171" s="12" t="s">
        <v>367</v>
      </c>
      <c r="O171" s="8"/>
    </row>
    <row r="172" spans="1:15" ht="12.75" customHeight="1">
      <c r="A172" s="39" t="s">
        <v>368</v>
      </c>
      <c r="B172" s="389">
        <v>0.9</v>
      </c>
      <c r="C172" s="389">
        <v>0.95</v>
      </c>
      <c r="D172" s="389">
        <v>1</v>
      </c>
      <c r="E172" s="389">
        <v>1.04</v>
      </c>
      <c r="F172" s="389">
        <v>1.07</v>
      </c>
      <c r="G172" s="125">
        <f>IF($B$182="Hyper Bear",B172,IF($B$182="Bear",C172,IF($B$182="Base",D172,IF($B$182="Bull",E172,F172))))</f>
        <v>1</v>
      </c>
      <c r="H172" s="126" t="s">
        <v>369</v>
      </c>
      <c r="I172" s="127">
        <v>0.9</v>
      </c>
      <c r="J172" s="127">
        <v>0.95</v>
      </c>
      <c r="K172" s="127">
        <v>1</v>
      </c>
      <c r="L172" s="127">
        <v>1.04</v>
      </c>
      <c r="M172" s="127">
        <v>1.07</v>
      </c>
      <c r="N172" s="127" t="s">
        <v>370</v>
      </c>
      <c r="O172" s="7"/>
    </row>
    <row r="173" spans="1:15" ht="12.75" customHeight="1">
      <c r="A173" s="65" t="s">
        <v>371</v>
      </c>
      <c r="B173" s="390">
        <v>0.8</v>
      </c>
      <c r="C173" s="390">
        <v>0.9</v>
      </c>
      <c r="D173" s="390">
        <v>1</v>
      </c>
      <c r="E173" s="391">
        <v>1.1000000000000001</v>
      </c>
      <c r="F173" s="390">
        <v>1.18</v>
      </c>
      <c r="G173" s="125">
        <f>IF($B$182="Hyper Bear",B173,IF($B$182="Bear",C173,IF($B$182="Base",D173,IF($B$182="Bull",E173,F173))))</f>
        <v>1</v>
      </c>
      <c r="H173" s="115" t="s">
        <v>372</v>
      </c>
      <c r="I173" s="12">
        <v>0.8</v>
      </c>
      <c r="J173" s="12">
        <v>0.9</v>
      </c>
      <c r="K173" s="12">
        <v>1</v>
      </c>
      <c r="L173" s="12">
        <v>1.1000000000000001</v>
      </c>
      <c r="M173" s="12">
        <v>1.18</v>
      </c>
      <c r="N173" s="12" t="s">
        <v>373</v>
      </c>
      <c r="O173" s="8"/>
    </row>
    <row r="174" spans="1:15" ht="12.75" customHeight="1">
      <c r="A174" s="65" t="s">
        <v>163</v>
      </c>
      <c r="B174" s="390">
        <v>0.82</v>
      </c>
      <c r="C174" s="390">
        <v>0.91</v>
      </c>
      <c r="D174" s="390">
        <v>1</v>
      </c>
      <c r="E174" s="391">
        <v>1.1200000000000001</v>
      </c>
      <c r="F174" s="390">
        <v>1.22</v>
      </c>
      <c r="G174" s="125">
        <f>IF($B$182="Hyper Bear",B174,IF($B$182="Bear",C174,IF($B$182="Base",D174,IF($B$182="Bull",E174,F174))))</f>
        <v>1</v>
      </c>
      <c r="H174" s="115" t="s">
        <v>374</v>
      </c>
      <c r="I174" s="12">
        <v>0.82</v>
      </c>
      <c r="J174" s="12">
        <v>0.91</v>
      </c>
      <c r="K174" s="12">
        <v>1</v>
      </c>
      <c r="L174" s="12">
        <v>1.1200000000000001</v>
      </c>
      <c r="M174" s="12">
        <v>1.22</v>
      </c>
      <c r="N174" s="12" t="s">
        <v>375</v>
      </c>
      <c r="O174" s="8"/>
    </row>
    <row r="175" spans="1:15" ht="6" customHeight="1">
      <c r="A175" s="7"/>
      <c r="B175" s="7"/>
      <c r="C175" s="7"/>
      <c r="D175" s="7"/>
      <c r="E175" s="7"/>
      <c r="F175" s="7"/>
      <c r="G175" s="7"/>
      <c r="H175" s="7"/>
      <c r="I175" s="7"/>
      <c r="J175" s="7"/>
      <c r="K175" s="7"/>
      <c r="L175" s="7"/>
      <c r="M175" s="7"/>
      <c r="N175" s="7"/>
      <c r="O175" s="7"/>
    </row>
    <row r="176" spans="1:15" ht="15.75" customHeight="1">
      <c r="A176" s="129" t="s">
        <v>376</v>
      </c>
      <c r="B176" s="130"/>
      <c r="C176" s="130"/>
      <c r="D176" s="130"/>
      <c r="E176" s="130"/>
      <c r="F176" s="130"/>
      <c r="G176" s="130"/>
      <c r="H176" s="131" t="s">
        <v>377</v>
      </c>
      <c r="I176" s="112" t="s">
        <v>378</v>
      </c>
      <c r="J176" s="8"/>
      <c r="K176" s="8"/>
      <c r="L176" s="8"/>
      <c r="M176" s="8"/>
      <c r="N176" s="8"/>
      <c r="O176" s="8"/>
    </row>
    <row r="177" spans="1:15" ht="15.75" customHeight="1">
      <c r="A177" s="65" t="s">
        <v>161</v>
      </c>
      <c r="B177" s="382">
        <v>-0.09</v>
      </c>
      <c r="C177" s="382">
        <v>-4.4999999999999998E-2</v>
      </c>
      <c r="D177" s="383">
        <v>0</v>
      </c>
      <c r="E177" s="382">
        <v>0.02</v>
      </c>
      <c r="F177" s="382">
        <v>3.5000000000000003E-2</v>
      </c>
      <c r="G177" s="118">
        <f>IF($B$182="Hyper Bear",B177,IF($B$182="Bear",C177,IF($B$182="Base",D177,IF($B$182="Bull",E177,F177))))</f>
        <v>0</v>
      </c>
      <c r="H177" s="132" t="s">
        <v>379</v>
      </c>
      <c r="I177" s="133">
        <v>-0.09</v>
      </c>
      <c r="J177" s="133">
        <v>-4.4999999999999998E-2</v>
      </c>
      <c r="K177" s="133">
        <v>0</v>
      </c>
      <c r="L177" s="133">
        <v>0.02</v>
      </c>
      <c r="M177" s="133">
        <v>3.5000000000000003E-2</v>
      </c>
      <c r="N177" s="133" t="s">
        <v>370</v>
      </c>
    </row>
    <row r="178" spans="1:15" ht="15.75" customHeight="1">
      <c r="A178" s="65" t="s">
        <v>162</v>
      </c>
      <c r="B178" s="382">
        <v>-0.18</v>
      </c>
      <c r="C178" s="382">
        <v>-0.1</v>
      </c>
      <c r="D178" s="383">
        <v>0</v>
      </c>
      <c r="E178" s="382">
        <v>0.04</v>
      </c>
      <c r="F178" s="382">
        <v>7.0000000000000007E-2</v>
      </c>
      <c r="G178" s="118">
        <f>IF($B$182="Hyper Bear",B178,IF($B$182="Bear",C178,IF($B$182="Base",D178,IF($B$182="Bull",E178,F178))))</f>
        <v>0</v>
      </c>
      <c r="H178" s="134" t="s">
        <v>380</v>
      </c>
      <c r="I178" s="133">
        <v>-0.18</v>
      </c>
      <c r="J178" s="133">
        <v>-0.1</v>
      </c>
      <c r="K178" s="133">
        <v>0</v>
      </c>
      <c r="L178" s="133">
        <v>0.04</v>
      </c>
      <c r="M178" s="133">
        <v>7.0000000000000007E-2</v>
      </c>
      <c r="N178" s="133" t="s">
        <v>375</v>
      </c>
    </row>
    <row r="179" spans="1:15" ht="15.75" customHeight="1">
      <c r="A179" s="65" t="s">
        <v>368</v>
      </c>
      <c r="B179" s="382">
        <v>-0.05</v>
      </c>
      <c r="C179" s="382">
        <v>-2.5000000000000001E-2</v>
      </c>
      <c r="D179" s="383">
        <v>0</v>
      </c>
      <c r="E179" s="382">
        <v>1.4999999999999999E-2</v>
      </c>
      <c r="F179" s="382">
        <v>2.5000000000000001E-2</v>
      </c>
      <c r="G179" s="118">
        <f>IF($B$182="Hyper Bear",B179,IF($B$182="Bear",C179,IF($B$182="Base",D179,IF($B$182="Bull",E179,F179))))</f>
        <v>0</v>
      </c>
      <c r="H179" s="115" t="s">
        <v>381</v>
      </c>
      <c r="I179" s="133">
        <v>-0.05</v>
      </c>
      <c r="J179" s="133">
        <v>-2.5000000000000001E-2</v>
      </c>
      <c r="K179" s="133">
        <v>0</v>
      </c>
      <c r="L179" s="133">
        <v>1.4999999999999999E-2</v>
      </c>
      <c r="M179" s="133">
        <v>2.5000000000000001E-2</v>
      </c>
      <c r="N179" s="133" t="s">
        <v>382</v>
      </c>
    </row>
    <row r="180" spans="1:15" ht="15.75" customHeight="1">
      <c r="A180" s="65" t="s">
        <v>371</v>
      </c>
      <c r="B180" s="382">
        <v>-7.0000000000000007E-2</v>
      </c>
      <c r="C180" s="382">
        <v>-3.5000000000000003E-2</v>
      </c>
      <c r="D180" s="383">
        <v>0</v>
      </c>
      <c r="E180" s="382">
        <v>0.02</v>
      </c>
      <c r="F180" s="382">
        <v>3.5000000000000003E-2</v>
      </c>
      <c r="G180" s="118">
        <f>IF($B$182="Hyper Bear",B180,IF($B$182="Bear",C180,IF($B$182="Base",D180,IF($B$182="Bull",E180,F180))))</f>
        <v>0</v>
      </c>
      <c r="H180" s="115" t="s">
        <v>383</v>
      </c>
      <c r="I180" s="133">
        <v>-7.0000000000000007E-2</v>
      </c>
      <c r="J180" s="133">
        <v>-3.5000000000000003E-2</v>
      </c>
      <c r="K180" s="133">
        <v>0</v>
      </c>
      <c r="L180" s="133">
        <v>0.02</v>
      </c>
      <c r="M180" s="133">
        <v>3.5000000000000003E-2</v>
      </c>
      <c r="N180" s="133" t="s">
        <v>382</v>
      </c>
    </row>
    <row r="181" spans="1:15" ht="15.75" customHeight="1">
      <c r="A181" s="65" t="s">
        <v>163</v>
      </c>
      <c r="B181" s="382">
        <v>-0.1</v>
      </c>
      <c r="C181" s="382">
        <v>-0.05</v>
      </c>
      <c r="D181" s="383">
        <v>0</v>
      </c>
      <c r="E181" s="382">
        <v>2.5000000000000001E-2</v>
      </c>
      <c r="F181" s="382">
        <v>0.04</v>
      </c>
      <c r="G181" s="118">
        <f>IF($B$182="Hyper Bear",B181,IF($B$182="Bear",C181,IF($B$182="Base",D181,IF($B$182="Bull",E181,F181))))</f>
        <v>0</v>
      </c>
      <c r="H181" s="115" t="s">
        <v>384</v>
      </c>
      <c r="I181" s="133">
        <v>-0.1</v>
      </c>
      <c r="J181" s="133">
        <v>-0.05</v>
      </c>
      <c r="K181" s="133">
        <v>0</v>
      </c>
      <c r="L181" s="133">
        <v>2.5000000000000001E-2</v>
      </c>
      <c r="M181" s="133">
        <v>0.04</v>
      </c>
      <c r="N181" s="133" t="s">
        <v>370</v>
      </c>
    </row>
    <row r="182" spans="1:15" ht="15.75" hidden="1" customHeight="1">
      <c r="A182" s="100" t="s">
        <v>385</v>
      </c>
      <c r="B182" s="392" t="str">
        <f>'Control Panel'!C7</f>
        <v>Base</v>
      </c>
      <c r="C182" s="50" t="s">
        <v>386</v>
      </c>
      <c r="D182" s="135"/>
      <c r="E182" s="135"/>
      <c r="G182" s="135"/>
      <c r="H182" s="135"/>
    </row>
    <row r="183" spans="1:15" ht="15.75" hidden="1" customHeight="1">
      <c r="A183" s="100" t="s">
        <v>387</v>
      </c>
      <c r="B183" s="392" t="str">
        <f>'Control Panel'!C8</f>
        <v>Tier 2</v>
      </c>
      <c r="C183" s="50">
        <v>500</v>
      </c>
      <c r="D183" s="135">
        <v>1000</v>
      </c>
      <c r="E183" s="135">
        <v>1500</v>
      </c>
      <c r="F183" s="382">
        <v>2000</v>
      </c>
      <c r="G183" s="135"/>
      <c r="H183" s="135"/>
    </row>
    <row r="184" spans="1:15" ht="15.75" customHeight="1">
      <c r="A184" s="100" t="s">
        <v>388</v>
      </c>
      <c r="B184" s="392" t="s">
        <v>389</v>
      </c>
      <c r="C184" s="50" t="s">
        <v>390</v>
      </c>
      <c r="D184" s="135"/>
      <c r="E184" s="135"/>
      <c r="F184" s="393"/>
      <c r="G184" s="135"/>
      <c r="H184" s="135"/>
      <c r="I184" s="136"/>
      <c r="J184" s="136"/>
      <c r="K184" s="136"/>
      <c r="L184" s="136"/>
      <c r="M184" s="136"/>
      <c r="N184" s="136"/>
      <c r="O184" s="136"/>
    </row>
    <row r="185" spans="1:15" ht="12" customHeight="1">
      <c r="A185" s="7"/>
      <c r="B185" s="7"/>
      <c r="C185" s="7"/>
      <c r="D185" s="7"/>
      <c r="E185" s="7"/>
      <c r="F185" s="7"/>
      <c r="G185" s="7"/>
      <c r="H185" s="7"/>
      <c r="I185" s="7"/>
      <c r="J185" s="7"/>
      <c r="K185" s="7"/>
      <c r="L185" s="7"/>
      <c r="M185" s="7"/>
      <c r="N185" s="7"/>
      <c r="O185" s="7"/>
    </row>
    <row r="186" spans="1:15" ht="15.75" customHeight="1">
      <c r="A186" s="137" t="s">
        <v>391</v>
      </c>
      <c r="B186" s="138" t="s">
        <v>392</v>
      </c>
      <c r="C186" s="138">
        <v>7.4999999999999997E-3</v>
      </c>
      <c r="D186" s="138">
        <v>6.0000000000000001E-3</v>
      </c>
      <c r="E186" s="138">
        <v>5.0000000000000001E-3</v>
      </c>
      <c r="F186" s="138">
        <v>5.0000000000000001E-3</v>
      </c>
      <c r="G186" s="138" t="s">
        <v>332</v>
      </c>
      <c r="H186" s="139"/>
    </row>
    <row r="187" spans="1:15" ht="15.75" customHeight="1">
      <c r="A187" s="65" t="s">
        <v>393</v>
      </c>
      <c r="B187" s="394">
        <v>0</v>
      </c>
      <c r="C187" s="394">
        <v>10</v>
      </c>
      <c r="D187" s="394">
        <v>17.5</v>
      </c>
      <c r="E187" s="394">
        <v>30</v>
      </c>
      <c r="F187" s="394">
        <v>45</v>
      </c>
      <c r="G187" s="140">
        <f>IF($B$183="No Facility",0,IF($B$183="Tier 1",C183,IF($B$183="Tier 2",D183,IF($B$183="Tier 3",E183,F183))))</f>
        <v>1000</v>
      </c>
      <c r="H187" s="115" t="s">
        <v>394</v>
      </c>
    </row>
    <row r="188" spans="1:15" ht="15.75" customHeight="1">
      <c r="A188" s="65" t="s">
        <v>395</v>
      </c>
      <c r="B188" s="380">
        <v>0</v>
      </c>
      <c r="C188" s="380">
        <v>0.05</v>
      </c>
      <c r="D188" s="380">
        <v>0.06</v>
      </c>
      <c r="E188" s="380">
        <v>7.0000000000000007E-2</v>
      </c>
      <c r="F188" s="380">
        <v>0.08</v>
      </c>
      <c r="G188" s="117">
        <f>IF($B$183="No Facility",0,IF($B$183="Tier 1",C188,IF($B$183="Tier 2",D188,IF($B$183="Tier 3",E188,F188))))</f>
        <v>0.06</v>
      </c>
      <c r="H188" s="115" t="s">
        <v>396</v>
      </c>
    </row>
    <row r="189" spans="1:15" ht="15.75" customHeight="1">
      <c r="A189" s="65" t="s">
        <v>397</v>
      </c>
      <c r="B189" s="395">
        <v>0</v>
      </c>
      <c r="C189" s="395">
        <v>36</v>
      </c>
      <c r="D189" s="395">
        <v>48</v>
      </c>
      <c r="E189" s="395">
        <v>60</v>
      </c>
      <c r="F189" s="395">
        <v>60</v>
      </c>
      <c r="G189" s="141">
        <f>IF($B$183="No Facility",0,IF($B$183="Tier 1",C186,IF($B$183="Tier 2",D186,IF($B$183="Tier 3",E186,F186))))</f>
        <v>6.0000000000000001E-3</v>
      </c>
      <c r="H189" s="115" t="s">
        <v>398</v>
      </c>
    </row>
    <row r="190" spans="1:15" ht="15.75" customHeight="1">
      <c r="A190" s="65" t="s">
        <v>399</v>
      </c>
      <c r="B190" s="394">
        <v>0</v>
      </c>
      <c r="C190" s="394">
        <v>15</v>
      </c>
      <c r="D190" s="394">
        <v>25</v>
      </c>
      <c r="E190" s="394">
        <v>35</v>
      </c>
      <c r="F190" s="394">
        <v>45</v>
      </c>
      <c r="G190" s="140">
        <f>IF($B$183="No Facility",0,IF($B$183="Tier 1",C190,IF($B$183="Tier 2",D190,IF($B$183="Tier 3",E190,F190))))</f>
        <v>25</v>
      </c>
      <c r="H190" s="115" t="s">
        <v>400</v>
      </c>
    </row>
    <row r="191" spans="1:15" ht="15.75" customHeight="1">
      <c r="A191" s="65" t="s">
        <v>401</v>
      </c>
      <c r="B191" s="376">
        <v>0</v>
      </c>
      <c r="C191" s="376">
        <v>0.5</v>
      </c>
      <c r="D191" s="376">
        <v>0.6</v>
      </c>
      <c r="E191" s="376">
        <v>0.7</v>
      </c>
      <c r="F191" s="376">
        <v>0.8</v>
      </c>
      <c r="G191" s="114">
        <f>IF($B$183="No Facility",B191,IF($B$183="Tier 1",C191,IF($B$183="Tier 2",D191,IF($B$183="Tier 3",E191,F191))))</f>
        <v>0.6</v>
      </c>
      <c r="H191" s="115" t="s">
        <v>402</v>
      </c>
    </row>
    <row r="192" spans="1:15" ht="15.75" customHeight="1">
      <c r="A192" s="65" t="s">
        <v>403</v>
      </c>
      <c r="B192" s="387">
        <v>0</v>
      </c>
      <c r="C192" s="387">
        <v>36</v>
      </c>
      <c r="D192" s="387">
        <v>48</v>
      </c>
      <c r="E192" s="387">
        <v>48</v>
      </c>
      <c r="F192" s="387">
        <v>60</v>
      </c>
      <c r="G192" s="120">
        <f>IF($B$183="No Facility",B192,IF($B$183="Tier 1",C192,IF($B$183="Tier 2",D192,IF($B$183="Tier 3",E192,F192))))</f>
        <v>48</v>
      </c>
      <c r="H192" s="115" t="s">
        <v>404</v>
      </c>
    </row>
    <row r="193" spans="1:15" ht="6" customHeight="1">
      <c r="A193" s="8"/>
      <c r="B193" s="8"/>
      <c r="C193" s="8"/>
      <c r="D193" s="8"/>
      <c r="E193" s="8"/>
      <c r="F193" s="8"/>
      <c r="G193" s="8"/>
      <c r="H193" s="8"/>
      <c r="I193" s="8"/>
      <c r="J193" s="8"/>
      <c r="K193" s="8"/>
      <c r="L193" s="8"/>
      <c r="M193" s="8"/>
      <c r="N193" s="8"/>
      <c r="O193" s="8"/>
    </row>
    <row r="194" spans="1:15" ht="15.75" customHeight="1">
      <c r="A194" s="142" t="s">
        <v>405</v>
      </c>
      <c r="B194" s="139"/>
      <c r="C194" s="142" t="s">
        <v>406</v>
      </c>
      <c r="D194" s="139"/>
      <c r="E194" s="139"/>
      <c r="F194" s="139"/>
      <c r="G194" s="139"/>
      <c r="H194" s="139"/>
    </row>
    <row r="195" spans="1:15" ht="15.75" customHeight="1">
      <c r="A195" s="65" t="s">
        <v>407</v>
      </c>
      <c r="B195" s="380">
        <v>0.13500000000000001</v>
      </c>
      <c r="C195" s="143" t="s">
        <v>408</v>
      </c>
      <c r="D195" s="144" t="s">
        <v>409</v>
      </c>
      <c r="E195" s="144" t="s">
        <v>410</v>
      </c>
      <c r="F195" s="144" t="s">
        <v>231</v>
      </c>
      <c r="G195" s="144" t="s">
        <v>411</v>
      </c>
      <c r="H195" s="145" t="s">
        <v>412</v>
      </c>
    </row>
    <row r="196" spans="1:15" ht="15.75" customHeight="1">
      <c r="A196" s="65" t="s">
        <v>413</v>
      </c>
      <c r="B196" s="146">
        <f>IF('Debt Schedule'!N68+G187*G191&gt;0,'Debt Schedule'!N69/('Debt Schedule'!N68+G187*G191),0)</f>
        <v>5.098910193726968E-2</v>
      </c>
      <c r="C196" s="147" t="s">
        <v>414</v>
      </c>
      <c r="D196" s="148" t="s">
        <v>415</v>
      </c>
      <c r="E196" s="149">
        <f>B199</f>
        <v>0.75690074641629423</v>
      </c>
      <c r="F196" s="380">
        <f>B195</f>
        <v>0.13500000000000001</v>
      </c>
      <c r="G196" s="150">
        <f>B199*B195</f>
        <v>0.10218160076619973</v>
      </c>
      <c r="H196" s="145" t="s">
        <v>416</v>
      </c>
    </row>
    <row r="197" spans="1:15" ht="15.75" customHeight="1">
      <c r="A197" s="65" t="s">
        <v>417</v>
      </c>
      <c r="B197" s="380">
        <v>0.25</v>
      </c>
      <c r="C197" s="147" t="s">
        <v>418</v>
      </c>
      <c r="D197" s="148" t="s">
        <v>419</v>
      </c>
      <c r="E197" s="149">
        <f>B198</f>
        <v>0.24309925358370574</v>
      </c>
      <c r="F197" s="146">
        <f>B196*(1-B197)</f>
        <v>3.8241826452952259E-2</v>
      </c>
      <c r="G197" s="150">
        <f>B198*B196*(1-B197)</f>
        <v>9.2965594663903077E-3</v>
      </c>
      <c r="H197" s="145" t="s">
        <v>420</v>
      </c>
    </row>
    <row r="198" spans="1:15" ht="16.5" customHeight="1">
      <c r="A198" s="65" t="s">
        <v>421</v>
      </c>
      <c r="B198" s="149">
        <f>('Debt Schedule'!N68+G187*G191)/('Debt Schedule'!N68+G187*G191+B200)</f>
        <v>0.24309925358370574</v>
      </c>
      <c r="C198" s="151" t="s">
        <v>422</v>
      </c>
      <c r="D198" s="152" t="s">
        <v>423</v>
      </c>
      <c r="E198" s="63"/>
      <c r="F198" s="153">
        <f>B201</f>
        <v>0</v>
      </c>
      <c r="G198" s="154">
        <f>B201</f>
        <v>0</v>
      </c>
      <c r="H198" s="145" t="s">
        <v>424</v>
      </c>
    </row>
    <row r="199" spans="1:15" ht="16.5" customHeight="1">
      <c r="A199" s="65" t="s">
        <v>425</v>
      </c>
      <c r="B199" s="149">
        <f>1-B198</f>
        <v>0.75690074641629423</v>
      </c>
      <c r="C199" s="7"/>
      <c r="D199" s="8"/>
      <c r="E199" s="8"/>
      <c r="F199" s="8"/>
      <c r="G199" s="8"/>
      <c r="H199" s="145" t="s">
        <v>426</v>
      </c>
    </row>
    <row r="200" spans="1:15" ht="16.5" customHeight="1">
      <c r="A200" s="65" t="s">
        <v>427</v>
      </c>
      <c r="B200" s="394">
        <f>'DCF &amp; Returns'!B28</f>
        <v>16197.8</v>
      </c>
      <c r="C200" s="7"/>
      <c r="D200" s="8"/>
      <c r="E200" s="8"/>
      <c r="F200" s="8"/>
      <c r="G200" s="8"/>
      <c r="H200" s="145" t="s">
        <v>428</v>
      </c>
    </row>
    <row r="201" spans="1:15" ht="16.5" customHeight="1">
      <c r="A201" s="65" t="s">
        <v>422</v>
      </c>
      <c r="B201" s="146">
        <f>G160</f>
        <v>0</v>
      </c>
      <c r="C201" s="7"/>
      <c r="D201" s="8"/>
      <c r="E201" s="8"/>
      <c r="F201" s="8"/>
      <c r="G201" s="8"/>
      <c r="H201" s="145" t="s">
        <v>429</v>
      </c>
    </row>
    <row r="202" spans="1:15" ht="15.75" customHeight="1">
      <c r="A202" s="64" t="s">
        <v>430</v>
      </c>
      <c r="B202" s="155">
        <f>(B199*B195)+(B198*B196*(1-B197))+B201</f>
        <v>0.11147816023259004</v>
      </c>
      <c r="C202" s="156" t="s">
        <v>90</v>
      </c>
      <c r="D202" s="139"/>
      <c r="E202" s="139"/>
      <c r="F202" s="157" t="s">
        <v>431</v>
      </c>
      <c r="G202" s="155">
        <f>G196+G197+G198</f>
        <v>0.11147816023259004</v>
      </c>
      <c r="H202" s="139"/>
    </row>
    <row r="204" spans="1:15" ht="15.75" customHeight="1">
      <c r="A204" s="64" t="s">
        <v>432</v>
      </c>
      <c r="B204" s="4">
        <v>20</v>
      </c>
      <c r="C204" s="4"/>
      <c r="D204" s="4"/>
      <c r="E204" s="4"/>
      <c r="F204" s="4"/>
      <c r="G204" s="4"/>
      <c r="H204" s="4"/>
    </row>
    <row r="205" spans="1:15" ht="15.75" customHeight="1">
      <c r="A205" s="158" t="s">
        <v>433</v>
      </c>
      <c r="B205" s="413" t="s">
        <v>434</v>
      </c>
      <c r="C205" s="159" t="s">
        <v>435</v>
      </c>
    </row>
    <row r="207" spans="1:15" ht="15.75" customHeight="1">
      <c r="A207" s="69" t="s">
        <v>436</v>
      </c>
      <c r="B207" s="69" t="s">
        <v>437</v>
      </c>
      <c r="C207" s="69" t="s">
        <v>438</v>
      </c>
      <c r="D207" s="69" t="s">
        <v>439</v>
      </c>
      <c r="E207" s="69" t="s">
        <v>440</v>
      </c>
      <c r="F207" s="69" t="s">
        <v>441</v>
      </c>
      <c r="G207" s="69" t="s">
        <v>426</v>
      </c>
      <c r="H207" s="69" t="s">
        <v>442</v>
      </c>
    </row>
    <row r="208" spans="1:15" ht="15.75" customHeight="1">
      <c r="A208" s="160">
        <v>0</v>
      </c>
      <c r="B208" s="161">
        <v>0.12</v>
      </c>
      <c r="C208" s="162">
        <f>SUM('DCF &amp; Returns'!$B$10/(1+B208)^'DCF &amp; Returns'!$B$13,'DCF &amp; Returns'!$C$10/(1+B208)^'DCF &amp; Returns'!$C$13,'DCF &amp; Returns'!$D$10/(1+B208)^'DCF &amp; Returns'!$D$13,'DCF &amp; Returns'!$E$10/(1+B208)^'DCF &amp; Returns'!$E$13,'DCF &amp; Returns'!$F$10/(1+B208)^'DCF &amp; Returns'!$F$13)</f>
        <v>2680.0872796703952</v>
      </c>
      <c r="D208" s="162">
        <f>'DCF &amp; Returns'!$F$10*(1+$B$12)/(B208-$B$12)/(1+B208)^'DCF &amp; Returns'!$G$13</f>
        <v>13549.304848072339</v>
      </c>
      <c r="E208" s="162">
        <f>C208+D208+'Balance Sheet'!$N$5-'Debt Schedule'!$N$68</f>
        <v>14258.038077824747</v>
      </c>
      <c r="F208" s="163">
        <f>('Debt Schedule'!$N$68+$G$187*$G$191)/('Debt Schedule'!$N$68+$G$187*$G$191+MAX(E208,100))</f>
        <v>0.2673307507998251</v>
      </c>
      <c r="G208" s="163">
        <f t="shared" ref="G208:G217" si="7">1-F208</f>
        <v>0.73266924920017495</v>
      </c>
      <c r="H208" s="161">
        <f t="shared" ref="H208:H217" si="8">G208*$B$195+F208*$B$196*(1-$B$197)+$B$201</f>
        <v>0.10913356481964796</v>
      </c>
    </row>
    <row r="209" spans="1:10" ht="15.75" customHeight="1">
      <c r="A209" s="160">
        <v>1</v>
      </c>
      <c r="B209" s="161">
        <f t="shared" ref="B209:B217" si="9">H208</f>
        <v>0.10913356481964796</v>
      </c>
      <c r="C209" s="162">
        <f>SUM('DCF &amp; Returns'!$B$10/(1+B209)^'DCF &amp; Returns'!$B$13,'DCF &amp; Returns'!$C$10/(1+B209)^'DCF &amp; Returns'!$C$13,'DCF &amp; Returns'!$D$10/(1+B209)^'DCF &amp; Returns'!$D$13,'DCF &amp; Returns'!$E$10/(1+B209)^'DCF &amp; Returns'!$E$13,'DCF &amp; Returns'!$F$10/(1+B209)^'DCF &amp; Returns'!$F$13)</f>
        <v>2787.8687872620567</v>
      </c>
      <c r="D209" s="162">
        <f>'DCF &amp; Returns'!$F$10*(1+$B$12)/(B209-$B$12)/(1+B209)^'DCF &amp; Returns'!$G$13</f>
        <v>15985.459104693911</v>
      </c>
      <c r="E209" s="162">
        <f>C209+D209+'Balance Sheet'!$N$5-'Debt Schedule'!$N$68</f>
        <v>16801.97384203798</v>
      </c>
      <c r="F209" s="163">
        <f>('Debt Schedule'!$N$68+$G$187*$G$191)/('Debt Schedule'!$N$68+$G$187*$G$191+MAX(E209,100))</f>
        <v>0.2364244691837015</v>
      </c>
      <c r="G209" s="163">
        <f t="shared" si="7"/>
        <v>0.76357553081629848</v>
      </c>
      <c r="H209" s="161">
        <f t="shared" si="8"/>
        <v>0.11212400017995477</v>
      </c>
    </row>
    <row r="210" spans="1:10" ht="15.75" customHeight="1">
      <c r="A210" s="160">
        <v>2</v>
      </c>
      <c r="B210" s="161">
        <f t="shared" si="9"/>
        <v>0.11212400017995477</v>
      </c>
      <c r="C210" s="162">
        <f>SUM('DCF &amp; Returns'!$B$10/(1+B210)^'DCF &amp; Returns'!$B$13,'DCF &amp; Returns'!$C$10/(1+B210)^'DCF &amp; Returns'!$C$13,'DCF &amp; Returns'!$D$10/(1+B210)^'DCF &amp; Returns'!$D$13,'DCF &amp; Returns'!$E$10/(1+B210)^'DCF &amp; Returns'!$E$13,'DCF &amp; Returns'!$F$10/(1+B210)^'DCF &amp; Returns'!$F$13)</f>
        <v>2757.6957916967822</v>
      </c>
      <c r="D210" s="162">
        <f>'DCF &amp; Returns'!$F$10*(1+$B$12)/(B210-$B$12)/(1+B210)^'DCF &amp; Returns'!$G$13</f>
        <v>15250.864239751962</v>
      </c>
      <c r="E210" s="162">
        <f>C210+D210+'Balance Sheet'!$N$5-'Debt Schedule'!$N$68</f>
        <v>16037.205981530757</v>
      </c>
      <c r="F210" s="163">
        <f>('Debt Schedule'!$N$68+$G$187*$G$191)/('Debt Schedule'!$N$68+$G$187*$G$191+MAX(E210,100))</f>
        <v>0.24493734570651665</v>
      </c>
      <c r="G210" s="163">
        <f t="shared" si="7"/>
        <v>0.75506265429348329</v>
      </c>
      <c r="H210" s="161">
        <f t="shared" si="8"/>
        <v>0.11130030979597563</v>
      </c>
    </row>
    <row r="211" spans="1:10" ht="15.75" customHeight="1">
      <c r="A211" s="160">
        <v>3</v>
      </c>
      <c r="B211" s="161">
        <f t="shared" si="9"/>
        <v>0.11130030979597563</v>
      </c>
      <c r="C211" s="162">
        <f>SUM('DCF &amp; Returns'!$B$10/(1+B211)^'DCF &amp; Returns'!$B$13,'DCF &amp; Returns'!$C$10/(1+B211)^'DCF &amp; Returns'!$C$13,'DCF &amp; Returns'!$D$10/(1+B211)^'DCF &amp; Returns'!$D$13,'DCF &amp; Returns'!$E$10/(1+B211)^'DCF &amp; Returns'!$E$13,'DCF &amp; Returns'!$F$10/(1+B211)^'DCF &amp; Returns'!$F$13)</f>
        <v>2765.9673194657926</v>
      </c>
      <c r="D211" s="162">
        <f>'DCF &amp; Returns'!$F$10*(1+$B$12)/(B211-$B$12)/(1+B211)^'DCF &amp; Returns'!$G$13</f>
        <v>15447.845148449336</v>
      </c>
      <c r="E211" s="162">
        <f>C211+D211+'Balance Sheet'!$N$5-'Debt Schedule'!$N$68</f>
        <v>16242.458417997141</v>
      </c>
      <c r="F211" s="163">
        <f>('Debt Schedule'!$N$68+$G$187*$G$191)/('Debt Schedule'!$N$68+$G$187*$G$191+MAX(E211,100))</f>
        <v>0.24259300419912361</v>
      </c>
      <c r="G211" s="163">
        <f t="shared" si="7"/>
        <v>0.75740699580087645</v>
      </c>
      <c r="H211" s="161">
        <f t="shared" si="8"/>
        <v>0.11152714399840154</v>
      </c>
    </row>
    <row r="212" spans="1:10" ht="15.75" customHeight="1">
      <c r="A212" s="160">
        <v>4</v>
      </c>
      <c r="B212" s="161">
        <f t="shared" si="9"/>
        <v>0.11152714399840154</v>
      </c>
      <c r="C212" s="162">
        <f>SUM('DCF &amp; Returns'!$B$10/(1+B212)^'DCF &amp; Returns'!$B$13,'DCF &amp; Returns'!$C$10/(1+B212)^'DCF &amp; Returns'!$C$13,'DCF &amp; Returns'!$D$10/(1+B212)^'DCF &amp; Returns'!$D$13,'DCF &amp; Returns'!$E$10/(1+B212)^'DCF &amp; Returns'!$E$13,'DCF &amp; Returns'!$F$10/(1+B212)^'DCF &amp; Returns'!$F$13)</f>
        <v>2763.6864685590645</v>
      </c>
      <c r="D212" s="162">
        <f>'DCF &amp; Returns'!$F$10*(1+$B$12)/(B212-$B$12)/(1+B212)^'DCF &amp; Returns'!$G$13</f>
        <v>15393.20398459908</v>
      </c>
      <c r="E212" s="162">
        <f>C212+D212+'Balance Sheet'!$N$5-'Debt Schedule'!$N$68</f>
        <v>16185.536403240154</v>
      </c>
      <c r="F212" s="163">
        <f>('Debt Schedule'!$N$68+$G$187*$G$191)/('Debt Schedule'!$N$68+$G$187*$G$191+MAX(E212,100))</f>
        <v>0.24323864413545249</v>
      </c>
      <c r="G212" s="163">
        <f t="shared" si="7"/>
        <v>0.75676135586454751</v>
      </c>
      <c r="H212" s="161">
        <f t="shared" si="8"/>
        <v>0.1114646730573933</v>
      </c>
    </row>
    <row r="213" spans="1:10" ht="15.75" customHeight="1">
      <c r="A213" s="160">
        <v>5</v>
      </c>
      <c r="B213" s="161">
        <f t="shared" si="9"/>
        <v>0.1114646730573933</v>
      </c>
      <c r="C213" s="162">
        <f>SUM('DCF &amp; Returns'!$B$10/(1+B213)^'DCF &amp; Returns'!$B$13,'DCF &amp; Returns'!$C$10/(1+B213)^'DCF &amp; Returns'!$C$13,'DCF &amp; Returns'!$D$10/(1+B213)^'DCF &amp; Returns'!$D$13,'DCF &amp; Returns'!$E$10/(1+B213)^'DCF &amp; Returns'!$E$13,'DCF &amp; Returns'!$F$10/(1+B213)^'DCF &amp; Returns'!$F$13)</f>
        <v>2764.3143971514096</v>
      </c>
      <c r="D213" s="162">
        <f>'DCF &amp; Returns'!$F$10*(1+$B$12)/(B213-$B$12)/(1+B213)^'DCF &amp; Returns'!$G$13</f>
        <v>15408.222163171209</v>
      </c>
      <c r="E213" s="162">
        <f>C213+D213+'Balance Sheet'!$N$5-'Debt Schedule'!$N$68</f>
        <v>16201.182510404631</v>
      </c>
      <c r="F213" s="163">
        <f>('Debt Schedule'!$N$68+$G$187*$G$191)/('Debt Schedule'!$N$68+$G$187*$G$191+MAX(E213,100))</f>
        <v>0.24306083538233259</v>
      </c>
      <c r="G213" s="163">
        <f t="shared" si="7"/>
        <v>0.75693916461766741</v>
      </c>
      <c r="H213" s="161">
        <f t="shared" si="8"/>
        <v>0.11148187750758587</v>
      </c>
    </row>
    <row r="214" spans="1:10" ht="15.75" customHeight="1">
      <c r="A214" s="160">
        <v>6</v>
      </c>
      <c r="B214" s="161">
        <f t="shared" si="9"/>
        <v>0.11148187750758587</v>
      </c>
      <c r="C214" s="162">
        <f>SUM('DCF &amp; Returns'!$B$10/(1+B214)^'DCF &amp; Returns'!$B$13,'DCF &amp; Returns'!$C$10/(1+B214)^'DCF &amp; Returns'!$C$13,'DCF &amp; Returns'!$D$10/(1+B214)^'DCF &amp; Returns'!$D$13,'DCF &amp; Returns'!$E$10/(1+B214)^'DCF &amp; Returns'!$E$13,'DCF &amp; Returns'!$F$10/(1+B214)^'DCF &amp; Returns'!$F$13)</f>
        <v>2764.1414489679391</v>
      </c>
      <c r="D214" s="162">
        <f>'DCF &amp; Returns'!$F$10*(1+$B$12)/(B214-$B$12)/(1+B214)^'DCF &amp; Returns'!$G$13</f>
        <v>15404.083883049623</v>
      </c>
      <c r="E214" s="162">
        <f>C214+D214+'Balance Sheet'!$N$5-'Debt Schedule'!$N$68</f>
        <v>16196.871282099573</v>
      </c>
      <c r="F214" s="163">
        <f>('Debt Schedule'!$N$68+$G$187*$G$191)/('Debt Schedule'!$N$68+$G$187*$G$191+MAX(E214,100))</f>
        <v>0.24310980399015114</v>
      </c>
      <c r="G214" s="163">
        <f t="shared" si="7"/>
        <v>0.75689019600984886</v>
      </c>
      <c r="H214" s="161">
        <f t="shared" si="8"/>
        <v>0.1114771393945322</v>
      </c>
    </row>
    <row r="215" spans="1:10" ht="15.75" customHeight="1">
      <c r="A215" s="160">
        <v>7</v>
      </c>
      <c r="B215" s="161">
        <f t="shared" si="9"/>
        <v>0.1114771393945322</v>
      </c>
      <c r="C215" s="162">
        <f>SUM('DCF &amp; Returns'!$B$10/(1+B215)^'DCF &amp; Returns'!$B$13,'DCF &amp; Returns'!$C$10/(1+B215)^'DCF &amp; Returns'!$C$13,'DCF &amp; Returns'!$D$10/(1+B215)^'DCF &amp; Returns'!$D$13,'DCF &amp; Returns'!$E$10/(1+B215)^'DCF &amp; Returns'!$E$13,'DCF &amp; Returns'!$F$10/(1+B215)^'DCF &amp; Returns'!$F$13)</f>
        <v>2764.1890776740956</v>
      </c>
      <c r="D215" s="162">
        <f>'DCF &amp; Returns'!$F$10*(1+$B$12)/(B215-$B$12)/(1+B215)^'DCF &amp; Returns'!$G$13</f>
        <v>15405.223393782799</v>
      </c>
      <c r="E215" s="162">
        <f>C215+D215+'Balance Sheet'!$N$5-'Debt Schedule'!$N$68</f>
        <v>16198.058421538904</v>
      </c>
      <c r="F215" s="163">
        <f>('Debt Schedule'!$N$68+$G$187*$G$191)/('Debt Schedule'!$N$68+$G$187*$G$191+MAX(E215,100))</f>
        <v>0.24309631803026721</v>
      </c>
      <c r="G215" s="163">
        <f t="shared" si="7"/>
        <v>0.75690368196973279</v>
      </c>
      <c r="H215" s="161">
        <f t="shared" si="8"/>
        <v>0.11147844427137911</v>
      </c>
    </row>
    <row r="216" spans="1:10" ht="15.75" customHeight="1">
      <c r="A216" s="160">
        <v>8</v>
      </c>
      <c r="B216" s="161">
        <f t="shared" si="9"/>
        <v>0.11147844427137911</v>
      </c>
      <c r="C216" s="162">
        <f>SUM('DCF &amp; Returns'!$B$10/(1+B216)^'DCF &amp; Returns'!$B$13,'DCF &amp; Returns'!$C$10/(1+B216)^'DCF &amp; Returns'!$C$13,'DCF &amp; Returns'!$D$10/(1+B216)^'DCF &amp; Returns'!$D$13,'DCF &amp; Returns'!$E$10/(1+B216)^'DCF &amp; Returns'!$E$13,'DCF &amp; Returns'!$F$10/(1+B216)^'DCF &amp; Returns'!$F$13)</f>
        <v>2764.1759606247779</v>
      </c>
      <c r="D216" s="162">
        <f>'DCF &amp; Returns'!$F$10*(1+$B$12)/(B216-$B$12)/(1+B216)^'DCF &amp; Returns'!$G$13</f>
        <v>15404.909559253585</v>
      </c>
      <c r="E216" s="162">
        <f>C216+D216+'Balance Sheet'!$N$5-'Debt Schedule'!$N$68</f>
        <v>16197.731469960372</v>
      </c>
      <c r="F216" s="163">
        <f>('Debt Schedule'!$N$68+$G$187*$G$191)/('Debt Schedule'!$N$68+$G$187*$G$191+MAX(E216,100))</f>
        <v>0.24310003206628833</v>
      </c>
      <c r="G216" s="163">
        <f t="shared" si="7"/>
        <v>0.75689996793371161</v>
      </c>
      <c r="H216" s="161">
        <f t="shared" si="8"/>
        <v>0.11147808490803721</v>
      </c>
    </row>
    <row r="217" spans="1:10" ht="15.75" customHeight="1">
      <c r="A217" s="160">
        <v>9</v>
      </c>
      <c r="B217" s="161">
        <f t="shared" si="9"/>
        <v>0.11147808490803721</v>
      </c>
      <c r="C217" s="162">
        <f>SUM('DCF &amp; Returns'!$B$10/(1+B217)^'DCF &amp; Returns'!$B$13,'DCF &amp; Returns'!$C$10/(1+B217)^'DCF &amp; Returns'!$C$13,'DCF &amp; Returns'!$D$10/(1+B217)^'DCF &amp; Returns'!$D$13,'DCF &amp; Returns'!$E$10/(1+B217)^'DCF &amp; Returns'!$E$13,'DCF &amp; Returns'!$F$10/(1+B217)^'DCF &amp; Returns'!$F$13)</f>
        <v>2764.1795730552858</v>
      </c>
      <c r="D217" s="162">
        <f>'DCF &amp; Returns'!$F$10*(1+$B$12)/(B217-$B$12)/(1+B217)^'DCF &amp; Returns'!$G$13</f>
        <v>15404.995988347622</v>
      </c>
      <c r="E217" s="162">
        <f>C217+D217+'Balance Sheet'!$N$5-'Debt Schedule'!$N$68</f>
        <v>16197.821511484921</v>
      </c>
      <c r="F217" s="163">
        <f>('Debt Schedule'!$N$68+$G$187*$G$191)/('Debt Schedule'!$N$68+$G$187*$G$191+MAX(E217,100))</f>
        <v>0.2430990092201249</v>
      </c>
      <c r="G217" s="163">
        <f t="shared" si="7"/>
        <v>0.75690099077987516</v>
      </c>
      <c r="H217" s="161">
        <f t="shared" si="8"/>
        <v>0.11147818387676381</v>
      </c>
    </row>
    <row r="219" spans="1:10" ht="15.75" customHeight="1">
      <c r="A219" s="164" t="s">
        <v>443</v>
      </c>
      <c r="B219" s="155">
        <f>H217</f>
        <v>0.11147818387676381</v>
      </c>
      <c r="C219" s="4"/>
      <c r="D219" s="4"/>
      <c r="E219" s="165">
        <f>E217</f>
        <v>16197.821511484921</v>
      </c>
      <c r="F219" s="4"/>
      <c r="G219" s="4"/>
      <c r="H219" s="166" t="s">
        <v>444</v>
      </c>
    </row>
    <row r="220" spans="1:10" ht="15.75" customHeight="1">
      <c r="A220" s="115" t="s">
        <v>445</v>
      </c>
      <c r="B220" s="167">
        <f>ABS(H217-B217)*10000</f>
        <v>9.8968726602866042E-4</v>
      </c>
      <c r="C220" s="115" t="s">
        <v>446</v>
      </c>
      <c r="E220" s="168" t="s">
        <v>447</v>
      </c>
      <c r="F220" s="380">
        <v>0.12</v>
      </c>
    </row>
    <row r="222" spans="1:10" ht="16">
      <c r="A222" s="533" t="s">
        <v>448</v>
      </c>
      <c r="B222" s="534" t="s">
        <v>327</v>
      </c>
      <c r="C222" s="534" t="s">
        <v>328</v>
      </c>
      <c r="D222" s="534" t="s">
        <v>329</v>
      </c>
      <c r="E222" s="534" t="s">
        <v>330</v>
      </c>
      <c r="F222" s="534" t="s">
        <v>331</v>
      </c>
      <c r="G222" s="535" t="s">
        <v>332</v>
      </c>
      <c r="H222" t="s">
        <v>176</v>
      </c>
      <c r="I222" t="s">
        <v>327</v>
      </c>
      <c r="J222" t="s">
        <v>328</v>
      </c>
    </row>
    <row r="223" spans="1:10" ht="16">
      <c r="A223" s="536" t="s">
        <v>449</v>
      </c>
      <c r="B223" s="537">
        <v>0</v>
      </c>
      <c r="C223" s="537">
        <v>0.5</v>
      </c>
      <c r="D223" s="537">
        <v>1</v>
      </c>
      <c r="E223" s="537">
        <v>1.3</v>
      </c>
      <c r="F223" s="537">
        <v>1.5</v>
      </c>
      <c r="G223" s="538">
        <f t="shared" ref="G223:G230" si="10">IF($B$182="Hyper Bear",B223,IF($B$182="Bear",C223,IF($B$182="Base",D223,IF($B$182="Bull",E223,F223))))</f>
        <v>1</v>
      </c>
      <c r="H223" t="s">
        <v>450</v>
      </c>
      <c r="I223">
        <v>0</v>
      </c>
      <c r="J223">
        <v>0.5</v>
      </c>
    </row>
    <row r="224" spans="1:10" ht="16">
      <c r="A224" s="536" t="s">
        <v>451</v>
      </c>
      <c r="B224" s="537">
        <v>1.1499999999999999</v>
      </c>
      <c r="C224" s="537">
        <v>1.08</v>
      </c>
      <c r="D224" s="537">
        <v>1</v>
      </c>
      <c r="E224" s="537">
        <v>0.97</v>
      </c>
      <c r="F224" s="537">
        <v>0.95</v>
      </c>
      <c r="G224" s="538">
        <f t="shared" si="10"/>
        <v>1</v>
      </c>
      <c r="H224" t="s">
        <v>452</v>
      </c>
      <c r="I224">
        <v>1.1499999999999999</v>
      </c>
      <c r="J224">
        <v>1.08</v>
      </c>
    </row>
    <row r="225" spans="1:10" ht="16">
      <c r="A225" s="536" t="s">
        <v>453</v>
      </c>
      <c r="B225" s="537">
        <v>0.7</v>
      </c>
      <c r="C225" s="537">
        <v>0.85</v>
      </c>
      <c r="D225" s="537">
        <v>1</v>
      </c>
      <c r="E225" s="537">
        <v>1.1499999999999999</v>
      </c>
      <c r="F225" s="537">
        <v>1.3</v>
      </c>
      <c r="G225" s="538">
        <f t="shared" si="10"/>
        <v>1</v>
      </c>
      <c r="H225" t="s">
        <v>454</v>
      </c>
      <c r="I225">
        <v>0.7</v>
      </c>
      <c r="J225">
        <v>0.85</v>
      </c>
    </row>
    <row r="226" spans="1:10" ht="16">
      <c r="A226" s="536" t="s">
        <v>455</v>
      </c>
      <c r="B226" s="537">
        <v>1.1000000000000001</v>
      </c>
      <c r="C226" s="537">
        <v>1.05</v>
      </c>
      <c r="D226" s="537">
        <v>1</v>
      </c>
      <c r="E226" s="537">
        <v>1</v>
      </c>
      <c r="F226" s="537">
        <v>0.95</v>
      </c>
      <c r="G226" s="538">
        <f t="shared" si="10"/>
        <v>1</v>
      </c>
      <c r="H226" t="s">
        <v>456</v>
      </c>
      <c r="I226">
        <v>1.1000000000000001</v>
      </c>
      <c r="J226">
        <v>1.05</v>
      </c>
    </row>
    <row r="227" spans="1:10" ht="16">
      <c r="A227" s="536" t="s">
        <v>457</v>
      </c>
      <c r="B227" s="539">
        <v>-0.03</v>
      </c>
      <c r="C227" s="539">
        <v>-1.4999999999999999E-2</v>
      </c>
      <c r="D227" s="539">
        <v>0</v>
      </c>
      <c r="E227" s="539">
        <v>0.03</v>
      </c>
      <c r="F227" s="539">
        <v>0.05</v>
      </c>
      <c r="G227" s="540">
        <f t="shared" si="10"/>
        <v>0</v>
      </c>
      <c r="H227" t="s">
        <v>458</v>
      </c>
      <c r="I227">
        <v>-0.03</v>
      </c>
      <c r="J227">
        <v>-1.4999999999999999E-2</v>
      </c>
    </row>
    <row r="228" spans="1:10" ht="16">
      <c r="A228" s="536" t="s">
        <v>459</v>
      </c>
      <c r="B228" s="541">
        <v>8</v>
      </c>
      <c r="C228" s="541">
        <v>4</v>
      </c>
      <c r="D228" s="541">
        <v>0</v>
      </c>
      <c r="E228" s="541">
        <v>-2</v>
      </c>
      <c r="F228" s="541">
        <v>-3</v>
      </c>
      <c r="G228" s="542">
        <f t="shared" si="10"/>
        <v>0</v>
      </c>
      <c r="H228" t="s">
        <v>460</v>
      </c>
      <c r="I228">
        <v>8</v>
      </c>
      <c r="J228">
        <v>4</v>
      </c>
    </row>
    <row r="229" spans="1:10" ht="16">
      <c r="A229" s="536" t="s">
        <v>461</v>
      </c>
      <c r="B229" s="537">
        <v>1.1000000000000001</v>
      </c>
      <c r="C229" s="537">
        <v>1.05</v>
      </c>
      <c r="D229" s="537">
        <v>1</v>
      </c>
      <c r="E229" s="537">
        <v>0.98</v>
      </c>
      <c r="F229" s="537">
        <v>0.95</v>
      </c>
      <c r="G229" s="538">
        <f t="shared" si="10"/>
        <v>1</v>
      </c>
      <c r="H229" t="s">
        <v>462</v>
      </c>
      <c r="I229">
        <v>1.1000000000000001</v>
      </c>
      <c r="J229">
        <v>1.05</v>
      </c>
    </row>
    <row r="230" spans="1:10" ht="16">
      <c r="A230" s="536" t="s">
        <v>463</v>
      </c>
      <c r="B230" s="543">
        <v>1.2E-2</v>
      </c>
      <c r="C230" s="543">
        <v>1.2999999999999999E-2</v>
      </c>
      <c r="D230" s="543">
        <v>1.4999999999999999E-2</v>
      </c>
      <c r="E230" s="543">
        <v>1.7000000000000001E-2</v>
      </c>
      <c r="F230" s="543">
        <v>1.7999999999999999E-2</v>
      </c>
      <c r="G230" s="544">
        <f t="shared" si="10"/>
        <v>1.4999999999999999E-2</v>
      </c>
      <c r="H230" t="s">
        <v>464</v>
      </c>
      <c r="I230">
        <v>1.2E-2</v>
      </c>
      <c r="J230">
        <v>1.2999999999999999E-2</v>
      </c>
    </row>
  </sheetData>
  <mergeCells count="2">
    <mergeCell ref="A1:O1"/>
    <mergeCell ref="A20:G20"/>
  </mergeCells>
  <dataValidations count="2">
    <dataValidation type="list" allowBlank="1" showInputMessage="1" showErrorMessage="1" errorTitle="Invalid Scenario" error="Please select: Hyper Bear, Bear, Base, Bull, or Hyper Bull" sqref="B182" xr:uid="{00000000-0002-0000-0100-000000000000}">
      <formula1>"Hyper Bear,Bear,Base,Bull,Hyper Bull"</formula1>
      <formula2>0</formula2>
    </dataValidation>
    <dataValidation type="list" allowBlank="1" showInputMessage="1" showErrorMessage="1" errorTitle="Invalid Credit Tier" error="Please select: No Facility, Tier 1, Tier 2, Tier 3, or Tier 4" sqref="B183:B184" xr:uid="{00000000-0002-0000-0100-000001000000}">
      <formula1>"No Facility,Tier 1,Tier 2,Tier 3,Tier 4"</formula1>
      <formula2>0</formula2>
    </dataValidation>
  </dataValidation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2A4A"/>
  </sheetPr>
  <dimension ref="A1:I70"/>
  <sheetViews>
    <sheetView showGridLines="0" tabSelected="1" zoomScaleNormal="100" workbookViewId="0">
      <pane xSplit="1" ySplit="4" topLeftCell="B5" activePane="bottomRight" state="frozen"/>
      <selection pane="topRight"/>
      <selection pane="bottomLeft"/>
      <selection pane="bottomRight" activeCell="C7" sqref="C7"/>
    </sheetView>
  </sheetViews>
  <sheetFormatPr baseColWidth="10" defaultColWidth="11" defaultRowHeight="15.75" customHeight="1"/>
  <cols>
    <col min="1" max="1" width="2.33203125" customWidth="1"/>
    <col min="2" max="2" width="30.83203125" customWidth="1"/>
    <col min="3" max="3" width="18.1640625" customWidth="1"/>
    <col min="4" max="4" width="2" customWidth="1"/>
    <col min="5" max="9" width="16.5" customWidth="1"/>
  </cols>
  <sheetData>
    <row r="1" spans="1:9" ht="7.5" customHeight="1">
      <c r="A1" s="2"/>
      <c r="D1" s="2"/>
    </row>
    <row r="2" spans="1:9" ht="25.5" customHeight="1">
      <c r="A2" s="169"/>
      <c r="B2" s="170" t="s">
        <v>46</v>
      </c>
      <c r="C2" s="2"/>
      <c r="D2" s="2"/>
      <c r="E2" s="2"/>
      <c r="F2" s="2"/>
      <c r="G2" s="2"/>
      <c r="H2" s="2"/>
      <c r="I2" s="2"/>
    </row>
    <row r="3" spans="1:9" ht="18" customHeight="1">
      <c r="A3" s="2"/>
      <c r="B3" s="171" t="s">
        <v>465</v>
      </c>
      <c r="C3" s="2"/>
      <c r="D3" s="2"/>
      <c r="E3" s="2"/>
      <c r="F3" s="2"/>
      <c r="G3" s="2"/>
      <c r="H3" s="2"/>
      <c r="I3" s="2"/>
    </row>
    <row r="4" spans="1:9" ht="7.5" customHeight="1">
      <c r="A4" s="2"/>
      <c r="B4" s="172"/>
      <c r="C4" s="172"/>
      <c r="D4" s="172"/>
      <c r="E4" s="172"/>
      <c r="F4" s="172"/>
      <c r="G4" s="172"/>
      <c r="H4" s="172"/>
      <c r="I4" s="172"/>
    </row>
    <row r="5" spans="1:9" ht="21.75" customHeight="1">
      <c r="A5" s="4"/>
      <c r="B5" s="173" t="s">
        <v>466</v>
      </c>
      <c r="C5" s="174"/>
      <c r="D5" s="175"/>
      <c r="E5" s="174"/>
      <c r="F5" s="174"/>
      <c r="G5" s="174"/>
      <c r="H5" s="174"/>
      <c r="I5" s="174"/>
    </row>
    <row r="6" spans="1:9" ht="6" customHeight="1">
      <c r="A6" s="2"/>
      <c r="D6" s="2"/>
    </row>
    <row r="7" spans="1:9" ht="27.75" customHeight="1">
      <c r="A7" s="2"/>
      <c r="B7" s="176" t="s">
        <v>50</v>
      </c>
      <c r="C7" s="396" t="s">
        <v>329</v>
      </c>
      <c r="D7" s="2"/>
      <c r="E7" s="177" t="s">
        <v>467</v>
      </c>
    </row>
    <row r="8" spans="1:9" ht="27.75" customHeight="1">
      <c r="A8" s="2"/>
      <c r="B8" s="178" t="s">
        <v>468</v>
      </c>
      <c r="C8" s="397" t="s">
        <v>268</v>
      </c>
      <c r="D8" s="2"/>
      <c r="E8" s="177" t="s">
        <v>469</v>
      </c>
    </row>
    <row r="9" spans="1:9" ht="27.75" customHeight="1">
      <c r="A9" s="2"/>
    </row>
    <row r="10" spans="1:9" ht="9.75" customHeight="1">
      <c r="A10" s="2"/>
      <c r="B10" s="2"/>
      <c r="D10" s="2"/>
    </row>
    <row r="11" spans="1:9" ht="21.75" customHeight="1">
      <c r="A11" s="4"/>
      <c r="B11" s="179" t="s">
        <v>470</v>
      </c>
      <c r="C11" s="4"/>
      <c r="D11" s="174"/>
      <c r="E11" s="4"/>
      <c r="F11" s="4"/>
      <c r="G11" s="4"/>
      <c r="H11" s="4"/>
      <c r="I11" s="4"/>
    </row>
    <row r="12" spans="1:9" ht="15.75" customHeight="1">
      <c r="A12" s="2"/>
      <c r="B12" s="180" t="s">
        <v>471</v>
      </c>
      <c r="C12" s="181" t="s">
        <v>271</v>
      </c>
      <c r="D12" s="2"/>
      <c r="E12" s="182" t="s">
        <v>327</v>
      </c>
      <c r="F12" s="183" t="s">
        <v>328</v>
      </c>
      <c r="G12" s="184" t="s">
        <v>329</v>
      </c>
      <c r="H12" s="185" t="s">
        <v>330</v>
      </c>
      <c r="I12" s="186" t="s">
        <v>331</v>
      </c>
    </row>
    <row r="13" spans="1:9" ht="15.75" customHeight="1">
      <c r="A13" s="2"/>
      <c r="B13" s="187" t="s">
        <v>472</v>
      </c>
      <c r="C13" s="188">
        <f>Assumptions!G170</f>
        <v>1</v>
      </c>
      <c r="D13" s="2"/>
      <c r="E13" s="189">
        <f>Assumptions!B170</f>
        <v>0.75</v>
      </c>
      <c r="F13" s="189">
        <f>Assumptions!C170</f>
        <v>0.88</v>
      </c>
      <c r="G13" s="189">
        <f>Assumptions!D170</f>
        <v>1</v>
      </c>
      <c r="H13" s="189">
        <f>Assumptions!E170</f>
        <v>1.08</v>
      </c>
      <c r="I13" s="189">
        <f>Assumptions!F170</f>
        <v>1.1499999999999999</v>
      </c>
    </row>
    <row r="14" spans="1:9" ht="15.75" customHeight="1">
      <c r="A14" s="2"/>
      <c r="B14" s="190" t="s">
        <v>473</v>
      </c>
      <c r="C14" s="188">
        <f>Assumptions!G171</f>
        <v>1</v>
      </c>
      <c r="D14" s="2"/>
      <c r="E14" s="191">
        <f>Assumptions!B171</f>
        <v>0.35</v>
      </c>
      <c r="F14" s="191">
        <f>Assumptions!C171</f>
        <v>0.62</v>
      </c>
      <c r="G14" s="191">
        <f>Assumptions!D171</f>
        <v>1</v>
      </c>
      <c r="H14" s="191">
        <f>Assumptions!E171</f>
        <v>1.2</v>
      </c>
      <c r="I14" s="191">
        <f>Assumptions!F171</f>
        <v>1.45</v>
      </c>
    </row>
    <row r="15" spans="1:9" ht="15.75" customHeight="1">
      <c r="A15" s="2"/>
      <c r="B15" s="192" t="s">
        <v>474</v>
      </c>
      <c r="C15" s="188">
        <f>Assumptions!G174</f>
        <v>1</v>
      </c>
      <c r="D15" s="2"/>
      <c r="E15" s="189">
        <f>Assumptions!B174</f>
        <v>0.82</v>
      </c>
      <c r="F15" s="189">
        <f>Assumptions!C174</f>
        <v>0.91</v>
      </c>
      <c r="G15" s="189">
        <f>Assumptions!D174</f>
        <v>1</v>
      </c>
      <c r="H15" s="189">
        <f>Assumptions!E174</f>
        <v>1.1200000000000001</v>
      </c>
      <c r="I15" s="189">
        <f>Assumptions!F174</f>
        <v>1.22</v>
      </c>
    </row>
    <row r="16" spans="1:9" ht="15.75" customHeight="1">
      <c r="A16" s="2"/>
      <c r="B16" s="190" t="s">
        <v>475</v>
      </c>
      <c r="C16" s="188">
        <f>Assumptions!G172</f>
        <v>1</v>
      </c>
      <c r="D16" s="2"/>
      <c r="E16" s="191">
        <f>Assumptions!B172</f>
        <v>0.9</v>
      </c>
      <c r="F16" s="191">
        <f>Assumptions!C172</f>
        <v>0.95</v>
      </c>
      <c r="G16" s="191">
        <f>Assumptions!D172</f>
        <v>1</v>
      </c>
      <c r="H16" s="191">
        <f>Assumptions!E172</f>
        <v>1.04</v>
      </c>
      <c r="I16" s="191">
        <f>Assumptions!F172</f>
        <v>1.07</v>
      </c>
    </row>
    <row r="17" spans="1:9" ht="15.75" customHeight="1">
      <c r="A17" s="2"/>
      <c r="B17" s="192" t="s">
        <v>476</v>
      </c>
      <c r="C17" s="188">
        <f>Assumptions!G173</f>
        <v>1</v>
      </c>
      <c r="D17" s="2"/>
      <c r="E17" s="189">
        <f>Assumptions!B173</f>
        <v>0.8</v>
      </c>
      <c r="F17" s="189">
        <f>Assumptions!C173</f>
        <v>0.9</v>
      </c>
      <c r="G17" s="189">
        <f>Assumptions!D173</f>
        <v>1</v>
      </c>
      <c r="H17" s="189">
        <f>Assumptions!E173</f>
        <v>1.1000000000000001</v>
      </c>
      <c r="I17" s="189">
        <f>Assumptions!F173</f>
        <v>1.18</v>
      </c>
    </row>
    <row r="18" spans="1:9" ht="15.75" customHeight="1">
      <c r="A18" s="2"/>
      <c r="B18" s="190" t="s">
        <v>477</v>
      </c>
      <c r="C18" s="193">
        <f>AVERAGE(Assumptions!G177:G181)</f>
        <v>0</v>
      </c>
      <c r="D18" s="2"/>
      <c r="E18" s="194">
        <f>AVERAGE(Assumptions!B177:B181)</f>
        <v>-9.8000000000000004E-2</v>
      </c>
      <c r="F18" s="194">
        <f>AVERAGE(Assumptions!C177:C181)</f>
        <v>-5.1000000000000004E-2</v>
      </c>
      <c r="G18" s="194">
        <f>AVERAGE(Assumptions!D177:D181)</f>
        <v>0</v>
      </c>
      <c r="H18" s="194">
        <f>AVERAGE(Assumptions!E177:E181)</f>
        <v>2.4E-2</v>
      </c>
      <c r="I18" s="194">
        <f>AVERAGE(Assumptions!F177:F181)</f>
        <v>4.1000000000000002E-2</v>
      </c>
    </row>
    <row r="19" spans="1:9" ht="15.75" customHeight="1">
      <c r="A19" s="2"/>
      <c r="B19" s="192" t="s">
        <v>478</v>
      </c>
      <c r="C19" s="195">
        <f>Assumptions!G158</f>
        <v>1</v>
      </c>
      <c r="D19" s="2"/>
      <c r="E19" s="196">
        <f>Assumptions!B158</f>
        <v>1.25</v>
      </c>
      <c r="F19" s="196">
        <f>Assumptions!C158</f>
        <v>1.1200000000000001</v>
      </c>
      <c r="G19" s="196">
        <f>Assumptions!D158</f>
        <v>1</v>
      </c>
      <c r="H19" s="196">
        <f>Assumptions!E158</f>
        <v>1.02</v>
      </c>
      <c r="I19" s="196">
        <f>Assumptions!F158</f>
        <v>1.1000000000000001</v>
      </c>
    </row>
    <row r="20" spans="1:9" ht="15.75" customHeight="1">
      <c r="A20" s="2"/>
      <c r="B20" s="190" t="s">
        <v>479</v>
      </c>
      <c r="C20" s="197">
        <f>Assumptions!G161</f>
        <v>0.4</v>
      </c>
      <c r="D20" s="2"/>
      <c r="E20" s="198">
        <f>Assumptions!B161</f>
        <v>0.15</v>
      </c>
      <c r="F20" s="198">
        <f>Assumptions!C161</f>
        <v>0.25</v>
      </c>
      <c r="G20" s="198">
        <f>Assumptions!D161</f>
        <v>0.4</v>
      </c>
      <c r="H20" s="198">
        <f>Assumptions!E161</f>
        <v>0.5</v>
      </c>
      <c r="I20" s="198">
        <f>Assumptions!F161</f>
        <v>0.55000000000000004</v>
      </c>
    </row>
    <row r="21" spans="1:9" ht="15.75" customHeight="1">
      <c r="A21" s="2"/>
      <c r="B21" s="192" t="s">
        <v>144</v>
      </c>
      <c r="C21" s="197">
        <f>Assumptions!G159</f>
        <v>2.5000000000000001E-2</v>
      </c>
      <c r="D21" s="2"/>
      <c r="E21" s="199">
        <f>Assumptions!B159</f>
        <v>5.0000000000000001E-3</v>
      </c>
      <c r="F21" s="199">
        <f>Assumptions!C159</f>
        <v>1.4999999999999999E-2</v>
      </c>
      <c r="G21" s="199">
        <f>Assumptions!D159</f>
        <v>2.5000000000000001E-2</v>
      </c>
      <c r="H21" s="199">
        <f>Assumptions!E159</f>
        <v>2.5000000000000001E-2</v>
      </c>
      <c r="I21" s="199">
        <f>Assumptions!F159</f>
        <v>2.5000000000000001E-2</v>
      </c>
    </row>
    <row r="22" spans="1:9" ht="16.5" customHeight="1">
      <c r="A22" s="2"/>
      <c r="B22" s="200" t="s">
        <v>480</v>
      </c>
      <c r="C22" s="201">
        <f>Assumptions!G160</f>
        <v>0</v>
      </c>
      <c r="D22" s="175"/>
      <c r="E22" s="202">
        <f>Assumptions!B160</f>
        <v>2.5000000000000001E-2</v>
      </c>
      <c r="F22" s="202">
        <f>Assumptions!C160</f>
        <v>1.2500000000000001E-2</v>
      </c>
      <c r="G22" s="202">
        <f>Assumptions!D160</f>
        <v>0</v>
      </c>
      <c r="H22" s="202">
        <f>Assumptions!E160</f>
        <v>-5.0000000000000001E-3</v>
      </c>
      <c r="I22" s="202">
        <f>Assumptions!F160</f>
        <v>-0.01</v>
      </c>
    </row>
    <row r="23" spans="1:9" ht="15.75" customHeight="1">
      <c r="A23" s="2"/>
      <c r="B23" s="203" t="s">
        <v>353</v>
      </c>
      <c r="C23" s="403">
        <f>Assumptions!G165</f>
        <v>5</v>
      </c>
      <c r="D23" s="2"/>
      <c r="E23" s="404">
        <f>Assumptions!B165</f>
        <v>3</v>
      </c>
      <c r="F23" s="405">
        <f>Assumptions!C165</f>
        <v>4</v>
      </c>
      <c r="G23" s="404">
        <f>Assumptions!D165</f>
        <v>5</v>
      </c>
      <c r="H23" s="405">
        <f>Assumptions!E165</f>
        <v>6</v>
      </c>
      <c r="I23" s="404">
        <f>Assumptions!F165</f>
        <v>7.5</v>
      </c>
    </row>
    <row r="24" spans="1:9" ht="15.75" customHeight="1">
      <c r="A24" s="2"/>
      <c r="B24" s="206" t="s">
        <v>358</v>
      </c>
      <c r="C24" s="406">
        <f>Assumptions!G167</f>
        <v>30</v>
      </c>
      <c r="D24" s="2"/>
      <c r="E24" s="407">
        <f>Assumptions!B167</f>
        <v>50</v>
      </c>
      <c r="F24" s="408">
        <f>Assumptions!C167</f>
        <v>38</v>
      </c>
      <c r="G24" s="407">
        <f>Assumptions!D167</f>
        <v>30</v>
      </c>
      <c r="H24" s="408">
        <f>Assumptions!E167</f>
        <v>28</v>
      </c>
      <c r="I24" s="407">
        <f>Assumptions!F167</f>
        <v>25</v>
      </c>
    </row>
    <row r="25" spans="1:9" ht="15.75" customHeight="1">
      <c r="A25" s="2"/>
      <c r="B25" s="203" t="s">
        <v>481</v>
      </c>
      <c r="C25" s="204">
        <f>Assumptions!G157</f>
        <v>1</v>
      </c>
      <c r="D25" s="2"/>
      <c r="E25" s="205">
        <f>Assumptions!B157</f>
        <v>0.15</v>
      </c>
      <c r="F25" s="194">
        <f>Assumptions!C157</f>
        <v>0.25</v>
      </c>
      <c r="G25" s="205">
        <f>Assumptions!D157</f>
        <v>0.35</v>
      </c>
      <c r="H25" s="194">
        <f>Assumptions!E157</f>
        <v>0.15</v>
      </c>
      <c r="I25" s="205">
        <f>Assumptions!F157</f>
        <v>0.1</v>
      </c>
    </row>
    <row r="26" spans="1:9" ht="17" customHeight="1" thickBot="1">
      <c r="A26" s="511"/>
      <c r="B26" s="512" t="s">
        <v>448</v>
      </c>
      <c r="C26" s="512"/>
      <c r="D26" s="512"/>
      <c r="E26" s="512"/>
      <c r="F26" s="512"/>
      <c r="G26" s="512"/>
      <c r="H26" s="512"/>
      <c r="I26" s="512"/>
    </row>
    <row r="27" spans="1:9" ht="16.5" customHeight="1">
      <c r="A27" s="513"/>
      <c r="B27" s="528" t="s">
        <v>449</v>
      </c>
      <c r="C27" s="530">
        <f>Assumptions!G223</f>
        <v>1</v>
      </c>
      <c r="D27" s="529"/>
      <c r="E27" s="532">
        <f>Assumptions!B223</f>
        <v>0</v>
      </c>
      <c r="F27" s="532">
        <f>Assumptions!C223</f>
        <v>0.5</v>
      </c>
      <c r="G27" s="532">
        <f>Assumptions!D223</f>
        <v>1</v>
      </c>
      <c r="H27" s="532">
        <f>Assumptions!E223</f>
        <v>1.3</v>
      </c>
      <c r="I27" s="532">
        <f>Assumptions!F223</f>
        <v>1.5</v>
      </c>
    </row>
    <row r="28" spans="1:9" ht="15.75" customHeight="1">
      <c r="A28" s="513"/>
      <c r="B28" s="527" t="s">
        <v>482</v>
      </c>
      <c r="C28" s="516">
        <f>Assumptions!G224</f>
        <v>1</v>
      </c>
      <c r="D28" s="518"/>
      <c r="E28" s="531">
        <f>Assumptions!B224</f>
        <v>1.1499999999999999</v>
      </c>
      <c r="F28" s="531">
        <f>Assumptions!C224</f>
        <v>1.08</v>
      </c>
      <c r="G28" s="531">
        <f>Assumptions!D224</f>
        <v>1</v>
      </c>
      <c r="H28" s="531">
        <f>Assumptions!E224</f>
        <v>0.97</v>
      </c>
      <c r="I28" s="531">
        <f>Assumptions!F224</f>
        <v>0.95</v>
      </c>
    </row>
    <row r="29" spans="1:9" ht="15.75" customHeight="1">
      <c r="A29" s="513"/>
      <c r="B29" s="515" t="s">
        <v>483</v>
      </c>
      <c r="C29" s="516">
        <f>Assumptions!G225</f>
        <v>1</v>
      </c>
      <c r="D29" s="518"/>
      <c r="E29" s="514">
        <f>Assumptions!B225</f>
        <v>0.7</v>
      </c>
      <c r="F29" s="514">
        <f>Assumptions!C225</f>
        <v>0.85</v>
      </c>
      <c r="G29" s="514">
        <f>Assumptions!D225</f>
        <v>1</v>
      </c>
      <c r="H29" s="514">
        <f>Assumptions!E225</f>
        <v>1.1499999999999999</v>
      </c>
      <c r="I29" s="514">
        <f>Assumptions!F225</f>
        <v>1.3</v>
      </c>
    </row>
    <row r="30" spans="1:9" ht="15.75" customHeight="1">
      <c r="A30" s="513"/>
      <c r="B30" s="520" t="s">
        <v>484</v>
      </c>
      <c r="C30" s="516">
        <f>Assumptions!G226</f>
        <v>1</v>
      </c>
      <c r="D30" s="518"/>
      <c r="E30" s="519">
        <f>Assumptions!B226</f>
        <v>1.1000000000000001</v>
      </c>
      <c r="F30" s="519">
        <f>Assumptions!C226</f>
        <v>1.05</v>
      </c>
      <c r="G30" s="519">
        <f>Assumptions!D226</f>
        <v>1</v>
      </c>
      <c r="H30" s="519">
        <f>Assumptions!E226</f>
        <v>1</v>
      </c>
      <c r="I30" s="519">
        <f>Assumptions!F226</f>
        <v>0.95</v>
      </c>
    </row>
    <row r="31" spans="1:9" ht="15.75" customHeight="1">
      <c r="A31" s="513"/>
      <c r="B31" s="515" t="s">
        <v>485</v>
      </c>
      <c r="C31" s="521">
        <f>Assumptions!G227</f>
        <v>0</v>
      </c>
      <c r="D31" s="518"/>
      <c r="E31" s="522">
        <f>Assumptions!B227</f>
        <v>-0.03</v>
      </c>
      <c r="F31" s="522">
        <f>Assumptions!C227</f>
        <v>-1.4999999999999999E-2</v>
      </c>
      <c r="G31" s="522">
        <f>Assumptions!D227</f>
        <v>0</v>
      </c>
      <c r="H31" s="522">
        <f>Assumptions!E227</f>
        <v>0.03</v>
      </c>
      <c r="I31" s="522">
        <f>Assumptions!F227</f>
        <v>0.05</v>
      </c>
    </row>
    <row r="32" spans="1:9" ht="15.75" customHeight="1">
      <c r="A32" s="513"/>
      <c r="B32" s="520" t="s">
        <v>486</v>
      </c>
      <c r="C32" s="523">
        <f>Assumptions!G228</f>
        <v>0</v>
      </c>
      <c r="D32" s="518"/>
      <c r="E32" s="524">
        <f>Assumptions!B228</f>
        <v>8</v>
      </c>
      <c r="F32" s="524">
        <f>Assumptions!C228</f>
        <v>4</v>
      </c>
      <c r="G32" s="524">
        <f>Assumptions!D228</f>
        <v>0</v>
      </c>
      <c r="H32" s="524">
        <f>Assumptions!E228</f>
        <v>-2</v>
      </c>
      <c r="I32" s="524">
        <f>Assumptions!F228</f>
        <v>-3</v>
      </c>
    </row>
    <row r="33" spans="1:9" ht="16.5" customHeight="1">
      <c r="A33" s="513"/>
      <c r="B33" s="515" t="s">
        <v>487</v>
      </c>
      <c r="C33" s="516">
        <f>Assumptions!G229</f>
        <v>1</v>
      </c>
      <c r="D33" s="518"/>
      <c r="E33" s="514">
        <f>Assumptions!B229</f>
        <v>1.1000000000000001</v>
      </c>
      <c r="F33" s="514">
        <f>Assumptions!C229</f>
        <v>1.05</v>
      </c>
      <c r="G33" s="514">
        <f>Assumptions!D229</f>
        <v>1</v>
      </c>
      <c r="H33" s="514">
        <f>Assumptions!E229</f>
        <v>0.98</v>
      </c>
      <c r="I33" s="514">
        <f>Assumptions!F229</f>
        <v>0.95</v>
      </c>
    </row>
    <row r="34" spans="1:9" ht="16.5" customHeight="1">
      <c r="A34" s="513"/>
      <c r="B34" s="517" t="s">
        <v>463</v>
      </c>
      <c r="C34" s="525">
        <f>Assumptions!G230</f>
        <v>1.4999999999999999E-2</v>
      </c>
      <c r="D34" s="518"/>
      <c r="E34" s="526">
        <f>Assumptions!B230</f>
        <v>1.2E-2</v>
      </c>
      <c r="F34" s="526">
        <f>Assumptions!C230</f>
        <v>1.2999999999999999E-2</v>
      </c>
      <c r="G34" s="526">
        <f>Assumptions!D230</f>
        <v>1.4999999999999999E-2</v>
      </c>
      <c r="H34" s="526">
        <f>Assumptions!E230</f>
        <v>1.7000000000000001E-2</v>
      </c>
      <c r="I34" s="526">
        <f>Assumptions!F230</f>
        <v>1.7999999999999999E-2</v>
      </c>
    </row>
    <row r="35" spans="1:9" ht="16.5" customHeight="1">
      <c r="A35" s="2"/>
      <c r="D35" s="2"/>
    </row>
    <row r="36" spans="1:9" ht="16.5" customHeight="1">
      <c r="A36" s="4"/>
      <c r="B36" s="179" t="s">
        <v>488</v>
      </c>
      <c r="C36" s="4"/>
      <c r="D36" s="4"/>
      <c r="E36" s="179" t="s">
        <v>48</v>
      </c>
      <c r="F36" s="4"/>
      <c r="G36" s="4"/>
      <c r="H36" s="4"/>
      <c r="I36" s="4"/>
    </row>
    <row r="37" spans="1:9" ht="15.75" customHeight="1">
      <c r="A37" s="2"/>
      <c r="B37" s="180" t="s">
        <v>471</v>
      </c>
      <c r="C37" s="181" t="s">
        <v>332</v>
      </c>
      <c r="D37" s="2"/>
      <c r="E37" s="180" t="s">
        <v>489</v>
      </c>
      <c r="F37" s="207" t="s">
        <v>490</v>
      </c>
      <c r="G37" s="207" t="s">
        <v>2</v>
      </c>
      <c r="H37" s="207" t="s">
        <v>3</v>
      </c>
      <c r="I37" s="207" t="s">
        <v>4</v>
      </c>
    </row>
    <row r="38" spans="1:9" ht="15.75" customHeight="1">
      <c r="A38" s="2"/>
      <c r="B38" s="187" t="s">
        <v>393</v>
      </c>
      <c r="C38" s="208">
        <f>Assumptions!G187</f>
        <v>1000</v>
      </c>
      <c r="D38" s="2"/>
      <c r="E38" s="187" t="s">
        <v>491</v>
      </c>
      <c r="F38" s="209">
        <f>'Income Statement'!N3</f>
        <v>8365.3000000000011</v>
      </c>
      <c r="G38" s="209">
        <f>'Income Statement'!O3</f>
        <v>10079.480000000001</v>
      </c>
      <c r="H38" s="209">
        <f>'Income Statement'!P3</f>
        <v>12130.851199999999</v>
      </c>
      <c r="I38" s="209">
        <f>'Income Statement'!Q3</f>
        <v>14465.389247999999</v>
      </c>
    </row>
    <row r="39" spans="1:9" ht="15.75" customHeight="1">
      <c r="A39" s="2"/>
      <c r="B39" s="190" t="s">
        <v>492</v>
      </c>
      <c r="C39" s="210">
        <f>Assumptions!G188</f>
        <v>0.06</v>
      </c>
      <c r="D39" s="2"/>
      <c r="E39" s="190" t="s">
        <v>175</v>
      </c>
      <c r="F39" s="211">
        <f>'Income Statement'!N6</f>
        <v>0.26257095441884937</v>
      </c>
      <c r="G39" s="211">
        <f>'Income Statement'!O6</f>
        <v>0.28847480227154593</v>
      </c>
      <c r="H39" s="211">
        <f>'Income Statement'!P6</f>
        <v>0.31056152761976008</v>
      </c>
      <c r="I39" s="211">
        <f>'Income Statement'!Q6</f>
        <v>0.32841165251441984</v>
      </c>
    </row>
    <row r="40" spans="1:9" ht="15.75" customHeight="1">
      <c r="A40" s="2"/>
      <c r="B40" s="192" t="s">
        <v>493</v>
      </c>
      <c r="C40" s="212">
        <f>Assumptions!G189</f>
        <v>6.0000000000000001E-3</v>
      </c>
      <c r="D40" s="2"/>
      <c r="E40" s="192" t="s">
        <v>494</v>
      </c>
      <c r="F40" s="213">
        <f>'Income Statement'!N30</f>
        <v>1152.4848050000012</v>
      </c>
      <c r="G40" s="213">
        <f>'Income Statement'!O30</f>
        <v>1800.6760000000022</v>
      </c>
      <c r="H40" s="213">
        <f>'Income Statement'!P30</f>
        <v>2565.3756799999992</v>
      </c>
      <c r="I40" s="213">
        <f>'Income Statement'!Q30</f>
        <v>3442.6023872000005</v>
      </c>
    </row>
    <row r="41" spans="1:9" ht="3.75" customHeight="1">
      <c r="A41" s="2"/>
      <c r="B41" s="190" t="s">
        <v>495</v>
      </c>
      <c r="C41" s="197">
        <f>Assumptions!G191</f>
        <v>0.6</v>
      </c>
      <c r="D41" s="2"/>
      <c r="E41" s="190" t="s">
        <v>496</v>
      </c>
      <c r="F41" s="214">
        <f>'Income Statement'!N27</f>
        <v>235.44245119764778</v>
      </c>
      <c r="G41" s="214">
        <f>'Income Statement'!O27</f>
        <v>524.42730678395424</v>
      </c>
      <c r="H41" s="214">
        <f>'Income Statement'!P27</f>
        <v>978.49323392005726</v>
      </c>
      <c r="I41" s="214">
        <f>'Income Statement'!Q27</f>
        <v>1469.5411482205866</v>
      </c>
    </row>
    <row r="42" spans="1:9" ht="18.75" customHeight="1">
      <c r="A42" s="2"/>
      <c r="B42" s="215" t="s">
        <v>403</v>
      </c>
      <c r="C42" s="216">
        <f>Assumptions!G192</f>
        <v>48</v>
      </c>
      <c r="D42" s="2"/>
      <c r="E42" s="192" t="s">
        <v>497</v>
      </c>
      <c r="F42" s="217">
        <f>'Cash Flow'!N15+'Cash Flow'!N22</f>
        <v>-1277.5575488023524</v>
      </c>
      <c r="G42" s="217">
        <f>'Cash Flow'!O15+'Cash Flow'!O22</f>
        <v>75.427306783954236</v>
      </c>
      <c r="H42" s="217">
        <f>'Cash Flow'!P15+'Cash Flow'!P22</f>
        <v>744.49323392005726</v>
      </c>
      <c r="I42" s="217">
        <f>'Cash Flow'!Q15+'Cash Flow'!Q22</f>
        <v>1304.5411482205864</v>
      </c>
    </row>
    <row r="43" spans="1:9" ht="16.5" customHeight="1">
      <c r="A43" s="2"/>
      <c r="D43" s="2"/>
      <c r="E43" s="218" t="s">
        <v>498</v>
      </c>
      <c r="F43" s="219">
        <f>'Debt Schedule'!N68</f>
        <v>4602.3638612352934</v>
      </c>
      <c r="G43" s="219">
        <f>'Debt Schedule'!O68</f>
        <v>2967.600286186087</v>
      </c>
      <c r="H43" s="219">
        <f>'Debt Schedule'!P68</f>
        <v>2123.0705771217554</v>
      </c>
      <c r="I43" s="219">
        <f>'Debt Schedule'!Q68</f>
        <v>1330.7031842919205</v>
      </c>
    </row>
    <row r="44" spans="1:9" ht="15.75" customHeight="1">
      <c r="A44" s="4"/>
      <c r="B44" s="179" t="s">
        <v>499</v>
      </c>
      <c r="C44" s="4"/>
      <c r="D44" s="2"/>
    </row>
    <row r="45" spans="1:9" ht="15.75" customHeight="1">
      <c r="A45" s="2"/>
      <c r="B45" s="180" t="s">
        <v>489</v>
      </c>
      <c r="C45" s="220" t="s">
        <v>500</v>
      </c>
      <c r="D45" s="4"/>
      <c r="E45" s="179" t="s">
        <v>501</v>
      </c>
      <c r="F45" s="4"/>
      <c r="G45" s="4"/>
      <c r="H45" s="174"/>
      <c r="I45" s="174"/>
    </row>
    <row r="46" spans="1:9" ht="15.75" customHeight="1">
      <c r="A46" s="2"/>
      <c r="B46" s="187" t="s">
        <v>90</v>
      </c>
      <c r="C46" s="221">
        <f>Assumptions!B11</f>
        <v>0.11147818387676381</v>
      </c>
      <c r="D46" s="2"/>
      <c r="E46" s="180" t="s">
        <v>300</v>
      </c>
      <c r="F46" s="222"/>
      <c r="G46" s="207" t="s">
        <v>59</v>
      </c>
      <c r="H46" s="2"/>
      <c r="I46" s="2"/>
    </row>
    <row r="47" spans="1:9" ht="15.75" customHeight="1">
      <c r="A47" s="2"/>
      <c r="B47" s="190" t="s">
        <v>144</v>
      </c>
      <c r="C47" s="223">
        <f>Assumptions!B12</f>
        <v>2.5000000000000001E-2</v>
      </c>
      <c r="D47" s="2"/>
      <c r="E47" s="187" t="s">
        <v>502</v>
      </c>
      <c r="F47" s="224"/>
      <c r="G47" s="225" t="str">
        <f>IF(ABS('Balance Sheet'!N49)&lt;2,"✓ PASS","✗ FAIL: "&amp;'Balance Sheet'!N49)</f>
        <v>✓ PASS</v>
      </c>
      <c r="H47" s="2"/>
      <c r="I47" s="2"/>
    </row>
    <row r="48" spans="1:9" ht="15.75" customHeight="1">
      <c r="A48" s="2"/>
      <c r="B48" s="192" t="s">
        <v>503</v>
      </c>
      <c r="C48" s="226">
        <f>'DCF &amp; Returns'!B24</f>
        <v>18169.2</v>
      </c>
      <c r="D48" s="2"/>
      <c r="E48" s="190" t="s">
        <v>504</v>
      </c>
      <c r="F48" s="227"/>
      <c r="G48" s="228" t="str">
        <f>IF(ABS('Cash Flow'!N38)&lt;1,"✓ PASS","✗ FAIL: "&amp;TEXT('Cash Flow'!N38,"#,##0.0"))</f>
        <v>✓ PASS</v>
      </c>
      <c r="H48" s="2"/>
      <c r="I48" s="2"/>
    </row>
    <row r="49" spans="1:9" ht="15.75" customHeight="1">
      <c r="A49" s="2"/>
      <c r="B49" s="229" t="s">
        <v>505</v>
      </c>
      <c r="C49" s="230">
        <f>'DCF &amp; Returns'!B26</f>
        <v>-4602.3638612352934</v>
      </c>
      <c r="D49" s="2"/>
      <c r="E49" s="192" t="s">
        <v>506</v>
      </c>
      <c r="F49" s="231"/>
      <c r="G49" s="232" t="str">
        <f>IF(Assumptions!B11&gt;Assumptions!B12,"✓ PASS","✗ FAIL: WACC ≤ TGR")</f>
        <v>✓ PASS</v>
      </c>
      <c r="H49" s="2"/>
      <c r="I49" s="2"/>
    </row>
    <row r="50" spans="1:9" ht="15.75" customHeight="1">
      <c r="A50" s="2"/>
      <c r="C50" s="233"/>
      <c r="D50" s="2"/>
      <c r="E50" s="190" t="s">
        <v>507</v>
      </c>
      <c r="F50" s="227"/>
      <c r="G50" s="228" t="str">
        <f>IF(AND('Income Statement'!N6&gt;0.05,'Income Statement'!N6&lt;0.6),"✓ PASS: "&amp;TEXT('Income Statement'!N6,"0.0%"),"✗ FAIL: "&amp;TEXT('Income Statement'!N6,"0.0%"))</f>
        <v>✓ PASS: 26.3%</v>
      </c>
      <c r="H50" s="2"/>
      <c r="I50" s="2"/>
    </row>
    <row r="51" spans="1:9" ht="15.75" customHeight="1">
      <c r="A51" s="2"/>
      <c r="B51" s="234" t="s">
        <v>508</v>
      </c>
      <c r="C51" s="235">
        <f>'DCF &amp; Returns'!B28</f>
        <v>16197.8</v>
      </c>
      <c r="D51" s="2"/>
      <c r="E51" s="192" t="s">
        <v>509</v>
      </c>
      <c r="F51" s="231"/>
      <c r="G51" s="232" t="str">
        <f>IF('Income Statement'!N3&gt;0,"✓ PASS","✗ FAIL")</f>
        <v>✓ PASS</v>
      </c>
      <c r="H51" s="2"/>
      <c r="I51" s="2"/>
    </row>
    <row r="52" spans="1:9" ht="15.75" customHeight="1">
      <c r="A52" s="2"/>
      <c r="B52" s="2"/>
      <c r="C52" s="2"/>
      <c r="D52" s="2"/>
      <c r="E52" s="200" t="s">
        <v>510</v>
      </c>
      <c r="F52" s="236"/>
      <c r="G52" s="237" t="str">
        <f>IF('DCF &amp; Returns'!B28&gt;0,"✓ PASS: "&amp;TEXT('DCF &amp; Returns'!B28,"$#,##0"),"✗ WARNING: Negative equity")</f>
        <v>✓ PASS: $16,198</v>
      </c>
      <c r="H52" s="2"/>
      <c r="I52" s="2"/>
    </row>
    <row r="53" spans="1:9" ht="15.75" customHeight="1">
      <c r="A53" s="2"/>
      <c r="B53" s="2"/>
      <c r="C53" s="2"/>
      <c r="D53" s="2"/>
      <c r="E53" s="2"/>
      <c r="F53" s="2"/>
      <c r="G53" s="2"/>
      <c r="H53" s="2"/>
      <c r="I53" s="2"/>
    </row>
    <row r="54" spans="1:9" ht="15.75" customHeight="1">
      <c r="A54" s="2"/>
      <c r="B54" s="2"/>
      <c r="C54" s="2"/>
      <c r="D54" s="2"/>
      <c r="E54" s="2"/>
      <c r="F54" s="2"/>
      <c r="G54" s="2"/>
      <c r="H54" s="2"/>
      <c r="I54" s="2"/>
    </row>
    <row r="55" spans="1:9" ht="15.75" customHeight="1">
      <c r="A55" s="2"/>
      <c r="B55" s="2"/>
      <c r="C55" s="2"/>
      <c r="D55" s="2"/>
      <c r="E55" s="2"/>
      <c r="F55" s="2"/>
      <c r="G55" s="2"/>
      <c r="H55" s="2"/>
      <c r="I55" s="2"/>
    </row>
    <row r="56" spans="1:9" ht="15.75" customHeight="1">
      <c r="A56" s="2"/>
      <c r="B56" s="2"/>
      <c r="C56" s="2"/>
      <c r="D56" s="2"/>
      <c r="E56" s="2"/>
      <c r="F56" s="2"/>
      <c r="G56" s="2"/>
      <c r="H56" s="2"/>
      <c r="I56" s="2"/>
    </row>
    <row r="57" spans="1:9" ht="15.75" customHeight="1">
      <c r="A57" s="2"/>
      <c r="B57" s="2"/>
      <c r="C57" s="2"/>
      <c r="D57" s="2"/>
      <c r="E57" s="2"/>
      <c r="F57" s="2"/>
      <c r="G57" s="2"/>
      <c r="H57" s="2"/>
      <c r="I57" s="2"/>
    </row>
    <row r="58" spans="1:9" ht="15.75" customHeight="1">
      <c r="A58" s="2"/>
      <c r="B58" s="2"/>
      <c r="C58" s="2"/>
      <c r="D58" s="2"/>
      <c r="E58" s="2"/>
      <c r="F58" s="2"/>
      <c r="G58" s="2"/>
      <c r="H58" s="2"/>
      <c r="I58" s="2"/>
    </row>
    <row r="59" spans="1:9" ht="15.75" customHeight="1">
      <c r="A59" s="2"/>
      <c r="B59" s="2"/>
      <c r="C59" s="2"/>
      <c r="D59" s="2"/>
      <c r="E59" s="2"/>
      <c r="F59" s="2"/>
      <c r="G59" s="2"/>
      <c r="H59" s="2"/>
      <c r="I59" s="2"/>
    </row>
    <row r="60" spans="1:9" ht="15.75" customHeight="1">
      <c r="A60" s="2"/>
      <c r="B60" s="2"/>
      <c r="C60" s="2"/>
      <c r="D60" s="2"/>
      <c r="E60" s="2"/>
      <c r="F60" s="2"/>
      <c r="G60" s="2"/>
      <c r="H60" s="2"/>
      <c r="I60" s="2"/>
    </row>
    <row r="61" spans="1:9" ht="15.75" customHeight="1">
      <c r="A61" s="2"/>
      <c r="B61" s="2"/>
      <c r="C61" s="2"/>
      <c r="D61" s="2"/>
      <c r="E61" s="2"/>
      <c r="F61" s="2"/>
      <c r="G61" s="2"/>
      <c r="H61" s="2"/>
      <c r="I61" s="2"/>
    </row>
    <row r="62" spans="1:9" ht="16">
      <c r="A62" s="2"/>
      <c r="B62" s="2"/>
      <c r="C62" s="2"/>
      <c r="D62" s="2"/>
      <c r="E62" s="2"/>
      <c r="F62" s="2"/>
      <c r="G62" s="2"/>
      <c r="H62" s="2"/>
      <c r="I62" s="2"/>
    </row>
    <row r="63" spans="1:9" ht="16">
      <c r="A63" s="2"/>
      <c r="B63" s="2"/>
      <c r="C63" s="2"/>
      <c r="D63" s="2"/>
      <c r="E63" s="2"/>
      <c r="F63" s="2"/>
      <c r="G63" s="2"/>
      <c r="H63" s="2"/>
      <c r="I63" s="2"/>
    </row>
    <row r="64" spans="1:9" ht="16">
      <c r="A64" s="2"/>
      <c r="B64" s="2"/>
      <c r="C64" s="2"/>
      <c r="D64" s="2"/>
      <c r="E64" s="2"/>
      <c r="F64" s="2"/>
      <c r="G64" s="2"/>
      <c r="H64" s="2"/>
      <c r="I64" s="2"/>
    </row>
    <row r="65" spans="1:9" ht="16">
      <c r="A65" s="2"/>
      <c r="B65" s="2"/>
      <c r="C65" s="2"/>
      <c r="D65" s="2"/>
      <c r="E65" s="2"/>
      <c r="F65" s="2"/>
      <c r="G65" s="2"/>
      <c r="H65" s="2"/>
      <c r="I65" s="2"/>
    </row>
    <row r="66" spans="1:9" ht="16">
      <c r="A66" s="2"/>
      <c r="B66" s="2"/>
      <c r="C66" s="2"/>
      <c r="D66" s="2"/>
      <c r="E66" s="2"/>
      <c r="F66" s="2"/>
      <c r="G66" s="2"/>
      <c r="H66" s="2"/>
      <c r="I66" s="2"/>
    </row>
    <row r="67" spans="1:9" ht="16">
      <c r="A67" s="2"/>
      <c r="B67" s="2"/>
      <c r="C67" s="2"/>
      <c r="D67" s="2"/>
      <c r="E67" s="2"/>
      <c r="F67" s="2"/>
      <c r="G67" s="2"/>
      <c r="H67" s="2"/>
      <c r="I67" s="2"/>
    </row>
    <row r="68" spans="1:9" ht="16">
      <c r="A68" s="2"/>
      <c r="B68" s="2"/>
      <c r="C68" s="2"/>
      <c r="D68" s="2"/>
      <c r="E68" s="2"/>
      <c r="F68" s="2"/>
      <c r="G68" s="2"/>
      <c r="H68" s="2"/>
      <c r="I68" s="2"/>
    </row>
    <row r="69" spans="1:9" ht="16">
      <c r="A69" s="2"/>
      <c r="B69" s="2"/>
      <c r="C69" s="2"/>
      <c r="D69" s="2"/>
      <c r="E69" s="2"/>
      <c r="F69" s="2"/>
      <c r="G69" s="2"/>
      <c r="H69" s="2"/>
      <c r="I69" s="2"/>
    </row>
    <row r="70" spans="1:9" ht="16">
      <c r="A70" s="2"/>
      <c r="B70" s="2"/>
      <c r="C70" s="2"/>
      <c r="D70" s="2"/>
      <c r="E70" s="2"/>
      <c r="F70" s="2"/>
      <c r="G70" s="2"/>
      <c r="H70" s="2"/>
      <c r="I70" s="2"/>
    </row>
  </sheetData>
  <conditionalFormatting sqref="G38:G43">
    <cfRule type="containsText" dxfId="10" priority="2" operator="containsText" text="PASS">
      <formula>NOT(ISERROR(SEARCH("PASS",G38)))</formula>
    </cfRule>
    <cfRule type="containsText" dxfId="9" priority="3" operator="containsText" text="FAIL">
      <formula>NOT(ISERROR(SEARCH("FAIL",G38)))</formula>
    </cfRule>
    <cfRule type="containsText" dxfId="8" priority="4" operator="containsText" text="WARNING">
      <formula>NOT(ISERROR(SEARCH("WARNING",G38)))</formula>
    </cfRule>
  </conditionalFormatting>
  <dataValidations count="2">
    <dataValidation type="list" allowBlank="1" showInputMessage="1" showErrorMessage="1" errorTitle="Invalid Selection" error="Please select a valid scenario from the dropdown list." promptTitle="Scenario Selection" prompt="Choose: Hyper Bear, Bear, Base, Bull, or Hyper Bull" sqref="C7" xr:uid="{00000000-0002-0000-0200-000000000000}">
      <formula1>"Hyper Bear,Bear,Base,Bull,Hyper Bull"</formula1>
      <formula2>0</formula2>
    </dataValidation>
    <dataValidation type="list" allowBlank="1" showInputMessage="1" showErrorMessage="1" errorTitle="Invalid Selection" error="Please select a valid credit tier from the dropdown list." promptTitle="Credit Tier Selection" prompt="Choose: No Facility, Tier 1, Tier 2, Tier 3, or Tier 4" sqref="C8" xr:uid="{00000000-0002-0000-0200-000001000000}">
      <formula1>"No Facility,Tier 1,Tier 2,Tier 3,Tier 4"</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S25"/>
  <sheetViews>
    <sheetView zoomScale="115" zoomScaleNormal="115" workbookViewId="0">
      <pane xSplit="1" ySplit="2" topLeftCell="B3" activePane="bottomRight" state="frozen"/>
      <selection pane="topRight"/>
      <selection pane="bottomLeft"/>
      <selection pane="bottomRight" activeCell="N10" sqref="N10"/>
    </sheetView>
  </sheetViews>
  <sheetFormatPr baseColWidth="10" defaultColWidth="11" defaultRowHeight="15.75" customHeight="1"/>
  <cols>
    <col min="1" max="1" width="49.5" customWidth="1"/>
    <col min="2" max="13" width="14" customWidth="1"/>
    <col min="14" max="19" width="16.5" customWidth="1"/>
  </cols>
  <sheetData>
    <row r="1" spans="1:19" ht="16.5" customHeight="1">
      <c r="A1" s="1" t="s">
        <v>511</v>
      </c>
      <c r="B1" s="1"/>
      <c r="C1" s="1"/>
      <c r="D1" s="1"/>
      <c r="E1" s="1"/>
      <c r="F1" s="1"/>
      <c r="G1" s="1"/>
      <c r="H1" s="1"/>
      <c r="I1" s="1"/>
      <c r="J1" s="1"/>
      <c r="K1" s="1"/>
      <c r="L1" s="1"/>
      <c r="M1" s="1"/>
      <c r="N1" s="436"/>
      <c r="O1" s="1"/>
      <c r="P1" s="1"/>
      <c r="Q1" s="1"/>
      <c r="R1" s="1"/>
      <c r="S1" s="244"/>
    </row>
    <row r="2" spans="1:19" ht="15.75" customHeight="1">
      <c r="A2" s="245"/>
      <c r="B2" s="246">
        <v>46048</v>
      </c>
      <c r="C2" s="246">
        <v>46079</v>
      </c>
      <c r="D2" s="246">
        <v>46107</v>
      </c>
      <c r="E2" s="246">
        <v>46138</v>
      </c>
      <c r="F2" s="246">
        <v>46168</v>
      </c>
      <c r="G2" s="246">
        <v>46199</v>
      </c>
      <c r="H2" s="246">
        <v>46229</v>
      </c>
      <c r="I2" s="246">
        <v>46260</v>
      </c>
      <c r="J2" s="246">
        <v>46291</v>
      </c>
      <c r="K2" s="246">
        <v>46321</v>
      </c>
      <c r="L2" s="246">
        <v>46352</v>
      </c>
      <c r="M2" s="246">
        <v>46382</v>
      </c>
      <c r="N2" s="437" t="s">
        <v>512</v>
      </c>
      <c r="O2" s="69" t="s">
        <v>513</v>
      </c>
      <c r="P2" s="69" t="s">
        <v>514</v>
      </c>
      <c r="Q2" s="69" t="s">
        <v>515</v>
      </c>
      <c r="R2" s="69" t="s">
        <v>516</v>
      </c>
      <c r="S2" s="244"/>
    </row>
    <row r="3" spans="1:19" ht="15.75" customHeight="1">
      <c r="A3" s="64" t="s">
        <v>517</v>
      </c>
      <c r="B3" s="247"/>
      <c r="C3" s="247"/>
      <c r="D3" s="247"/>
      <c r="E3" s="247"/>
      <c r="F3" s="247"/>
      <c r="G3" s="247"/>
      <c r="H3" s="247"/>
      <c r="I3" s="247"/>
      <c r="J3" s="247"/>
      <c r="K3" s="247"/>
      <c r="L3" s="247"/>
      <c r="M3" s="247"/>
      <c r="N3" s="438"/>
      <c r="O3" s="247"/>
      <c r="P3" s="247"/>
      <c r="Q3" s="247"/>
      <c r="R3" s="247"/>
      <c r="S3" s="244"/>
    </row>
    <row r="4" spans="1:19" ht="15.75" customHeight="1">
      <c r="A4" s="39" t="s">
        <v>161</v>
      </c>
      <c r="B4" s="254">
        <f>Assumptions!C23*Assumptions!B108*Assumptions!$G$170*(1-Assumptions!$G$162)</f>
        <v>312.65000000000003</v>
      </c>
      <c r="C4" s="254">
        <f>Assumptions!C23*Assumptions!C108*Assumptions!$G$170*(1-Assumptions!$G$162)</f>
        <v>312.65000000000003</v>
      </c>
      <c r="D4" s="254">
        <f>Assumptions!C23*Assumptions!D108*Assumptions!$G$170*(1-Assumptions!$G$162)</f>
        <v>360.75</v>
      </c>
      <c r="E4" s="254">
        <f>Assumptions!C23*Assumptions!E108*Assumptions!$G$170*(1-Assumptions!$G$162)</f>
        <v>408.85</v>
      </c>
      <c r="F4" s="254">
        <f>Assumptions!C23*Assumptions!F108*Assumptions!$G$170*(1-Assumptions!$G$162)</f>
        <v>456.95</v>
      </c>
      <c r="G4" s="254">
        <f>Assumptions!C23*Assumptions!G108*Assumptions!$G$170*(1-Assumptions!$G$162)</f>
        <v>481</v>
      </c>
      <c r="H4" s="254">
        <f>Assumptions!C23*Assumptions!H108*Assumptions!$G$170*(1-Assumptions!$G$162)</f>
        <v>505.04999999999995</v>
      </c>
      <c r="I4" s="254">
        <f>Assumptions!C23*Assumptions!J108*Assumptions!$G$170*(1-Assumptions!$G$162)</f>
        <v>505.04999999999995</v>
      </c>
      <c r="J4" s="254">
        <f>Assumptions!C23*Assumptions!K108*Assumptions!$G$170*(1-Assumptions!$G$162)</f>
        <v>456.95</v>
      </c>
      <c r="K4" s="254">
        <f>Assumptions!C23*Assumptions!L108*Assumptions!$G$170*(1-Assumptions!$G$162)</f>
        <v>384.8</v>
      </c>
      <c r="L4" s="254">
        <f>Assumptions!C23*Assumptions!M108*Assumptions!$G$170*(1-Assumptions!$G$162)</f>
        <v>312.65000000000003</v>
      </c>
      <c r="M4" s="254">
        <f>Assumptions!C23*Assumptions!N108*Assumptions!$G$170*(1-Assumptions!$G$162)</f>
        <v>312.65000000000003</v>
      </c>
      <c r="N4" s="439">
        <f t="shared" ref="N4:N10" si="0">SUM(B4:M4)</f>
        <v>4810</v>
      </c>
      <c r="O4" s="254">
        <f>Assumptions!D23*Assumptions!$G$170*(1+Assumptions!$G$227)^1*(1-Assumptions!$G$162)</f>
        <v>5291</v>
      </c>
      <c r="P4" s="254">
        <f>Assumptions!E23*Assumptions!$G$170*(1+Assumptions!$G$227)^2*(1-Assumptions!$G$162)</f>
        <v>5768</v>
      </c>
      <c r="Q4" s="254">
        <f>Assumptions!F23*Assumptions!$G$170*(1+Assumptions!$G$227)^3*(1-Assumptions!$G$162)</f>
        <v>6287</v>
      </c>
      <c r="R4" s="254">
        <f>Assumptions!G23*Assumptions!$G$170*(1+Assumptions!$G$227)^4*(1-Assumptions!$G$162)</f>
        <v>6859</v>
      </c>
      <c r="S4" s="244"/>
    </row>
    <row r="5" spans="1:19" ht="15.75" customHeight="1">
      <c r="A5" s="39" t="s">
        <v>162</v>
      </c>
      <c r="B5" s="254">
        <f>Assumptions!C24*Assumptions!B109*Assumptions!$G$171*(1+Assumptions!$G$164*Assumptions!$G$163/5)</f>
        <v>41.117999999999995</v>
      </c>
      <c r="C5" s="254">
        <f>Assumptions!C24*Assumptions!C109*Assumptions!$G$171*(1+Assumptions!$G$164*Assumptions!$G$163/5)</f>
        <v>41.117999999999995</v>
      </c>
      <c r="D5" s="254">
        <f>Assumptions!C24*Assumptions!D109*Assumptions!$G$171*(1+Assumptions!$G$164*Assumptions!$G$163/5)</f>
        <v>47.971000000000011</v>
      </c>
      <c r="E5" s="254">
        <f>Assumptions!C24*Assumptions!E109*Assumptions!$G$171*(1+Assumptions!$G$164*Assumptions!$G$163/5)</f>
        <v>58.250500000000009</v>
      </c>
      <c r="F5" s="254">
        <f>Assumptions!C24*Assumptions!F109*Assumptions!$G$171*(1+Assumptions!$G$164*Assumptions!$G$163/5)</f>
        <v>68.530000000000015</v>
      </c>
      <c r="G5" s="254">
        <f>Assumptions!C24*Assumptions!G109*Assumptions!$G$171*(1+Assumptions!$G$164*Assumptions!$G$163/5)</f>
        <v>75.38300000000001</v>
      </c>
      <c r="H5" s="254">
        <f>Assumptions!C24*Assumptions!H109*Assumptions!$G$171*(1+Assumptions!$G$164*Assumptions!$G$163/5)</f>
        <v>78.8095</v>
      </c>
      <c r="I5" s="254">
        <f>Assumptions!C24*Assumptions!J109*Assumptions!$G$171*(1+Assumptions!$G$164*Assumptions!$G$163/5)</f>
        <v>75.38300000000001</v>
      </c>
      <c r="J5" s="254">
        <f>Assumptions!C24*Assumptions!K109*Assumptions!$G$171*(1+Assumptions!$G$164*Assumptions!$G$163/5)</f>
        <v>65.103500000000011</v>
      </c>
      <c r="K5" s="254">
        <f>Assumptions!C24*Assumptions!L109*Assumptions!$G$171*(1+Assumptions!$G$164*Assumptions!$G$163/5)</f>
        <v>51.397500000000008</v>
      </c>
      <c r="L5" s="254">
        <f>Assumptions!C24*Assumptions!M109*Assumptions!$G$171*(1+Assumptions!$G$164*Assumptions!$G$163/5)</f>
        <v>44.544500000000006</v>
      </c>
      <c r="M5" s="254">
        <f>Assumptions!C24*Assumptions!N109*Assumptions!$G$171*(1+Assumptions!$G$164*Assumptions!$G$163/5)</f>
        <v>37.691500000000005</v>
      </c>
      <c r="N5" s="439">
        <f t="shared" si="0"/>
        <v>685.30000000000007</v>
      </c>
      <c r="O5" s="254">
        <f>Assumptions!D24*Assumptions!$G$171*(1+Assumptions!$G$227)^1*(1+Assumptions!$G$164*Assumptions!$G$163/5)</f>
        <v>959.2</v>
      </c>
      <c r="P5" s="254">
        <f>Assumptions!E24*Assumptions!$G$171*(1+Assumptions!$G$227)^2*(1+Assumptions!$G$164*Assumptions!$G$163/5)</f>
        <v>1247.4000000000001</v>
      </c>
      <c r="Q5" s="254">
        <f>Assumptions!F24*Assumptions!$G$171*(1+Assumptions!$G$227)^3*(1+Assumptions!$G$164*Assumptions!$G$163/5)</f>
        <v>1559.8000000000002</v>
      </c>
      <c r="R5" s="254">
        <f>Assumptions!G24*Assumptions!$G$171*(1+Assumptions!$G$227)^4*(1+Assumptions!$G$164*Assumptions!$G$163/5)</f>
        <v>1872.2</v>
      </c>
      <c r="S5" s="244"/>
    </row>
    <row r="6" spans="1:19" ht="15.75" customHeight="1">
      <c r="A6" s="39" t="s">
        <v>163</v>
      </c>
      <c r="B6" s="254">
        <f>Assumptions!C25*Assumptions!B110*Assumptions!$G$174</f>
        <v>77</v>
      </c>
      <c r="C6" s="254">
        <f>Assumptions!C25*Assumptions!C110*Assumptions!$G$174</f>
        <v>84</v>
      </c>
      <c r="D6" s="254">
        <f>Assumptions!C25*Assumptions!D110*Assumptions!$G$174</f>
        <v>105</v>
      </c>
      <c r="E6" s="254">
        <f>Assumptions!C25*Assumptions!E110*Assumptions!$G$174</f>
        <v>126</v>
      </c>
      <c r="F6" s="254">
        <f>Assumptions!C25*Assumptions!F110*Assumptions!$G$174</f>
        <v>147</v>
      </c>
      <c r="G6" s="254">
        <f>Assumptions!C25*Assumptions!G110*Assumptions!$G$174</f>
        <v>161</v>
      </c>
      <c r="H6" s="254">
        <f>Assumptions!C25*Assumptions!H110*Assumptions!$G$174</f>
        <v>168</v>
      </c>
      <c r="I6" s="254">
        <f>Assumptions!C25*Assumptions!J110*Assumptions!$G$174</f>
        <v>161</v>
      </c>
      <c r="J6" s="254">
        <f>Assumptions!C25*Assumptions!K110*Assumptions!$G$174</f>
        <v>133</v>
      </c>
      <c r="K6" s="254">
        <f>Assumptions!C25*Assumptions!L110*Assumptions!$G$174</f>
        <v>105</v>
      </c>
      <c r="L6" s="254">
        <f>Assumptions!C25*Assumptions!M110*Assumptions!$G$174</f>
        <v>70</v>
      </c>
      <c r="M6" s="254">
        <f>Assumptions!C25*Assumptions!N110*Assumptions!$G$174</f>
        <v>63</v>
      </c>
      <c r="N6" s="439">
        <f t="shared" si="0"/>
        <v>1400</v>
      </c>
      <c r="O6" s="254">
        <f>Assumptions!D25*Assumptions!$G$174*(1+Assumptions!$G$227)^1</f>
        <v>2203</v>
      </c>
      <c r="P6" s="254">
        <f>Assumptions!E25*Assumptions!$G$174*(1+Assumptions!$G$227)^2</f>
        <v>3304</v>
      </c>
      <c r="Q6" s="254">
        <f>Assumptions!F25*Assumptions!$G$174*(1+Assumptions!$G$227)^3</f>
        <v>4626</v>
      </c>
      <c r="R6" s="254">
        <f>Assumptions!G25*Assumptions!$G$174*(1+Assumptions!$G$227)^4</f>
        <v>5782</v>
      </c>
      <c r="S6" s="244"/>
    </row>
    <row r="7" spans="1:19" ht="15.75" customHeight="1">
      <c r="A7" s="39" t="s">
        <v>165</v>
      </c>
      <c r="B7" s="254">
        <f>Assumptions!C26*Assumptions!B111*Assumptions!$G$172</f>
        <v>8.3249999999999993</v>
      </c>
      <c r="C7" s="254">
        <f>Assumptions!C26*Assumptions!C111*Assumptions!$G$172</f>
        <v>8.3249999999999993</v>
      </c>
      <c r="D7" s="254">
        <f>Assumptions!C26*Assumptions!D111*Assumptions!$G$172</f>
        <v>8.8800000000000008</v>
      </c>
      <c r="E7" s="254">
        <f>Assumptions!C26*Assumptions!E111*Assumptions!$G$172</f>
        <v>9.4350000000000005</v>
      </c>
      <c r="F7" s="254">
        <f>Assumptions!C26*Assumptions!F111*Assumptions!$G$172</f>
        <v>9.99</v>
      </c>
      <c r="G7" s="254">
        <f>Assumptions!C26*Assumptions!G111*Assumptions!$G$172</f>
        <v>10.545</v>
      </c>
      <c r="H7" s="254">
        <f>Assumptions!C26*Assumptions!H111*Assumptions!$G$172</f>
        <v>10.545</v>
      </c>
      <c r="I7" s="254">
        <f>Assumptions!C26*Assumptions!J111*Assumptions!$G$172</f>
        <v>9.99</v>
      </c>
      <c r="J7" s="254">
        <f>Assumptions!C26*Assumptions!K111*Assumptions!$G$172</f>
        <v>9.4350000000000005</v>
      </c>
      <c r="K7" s="254">
        <f>Assumptions!C26*Assumptions!L111*Assumptions!$G$172</f>
        <v>8.8800000000000008</v>
      </c>
      <c r="L7" s="254">
        <f>Assumptions!C26*Assumptions!M111*Assumptions!$G$172</f>
        <v>8.3249999999999993</v>
      </c>
      <c r="M7" s="254">
        <f>Assumptions!C26*Assumptions!N111*Assumptions!$G$172</f>
        <v>8.3249999999999993</v>
      </c>
      <c r="N7" s="439">
        <f t="shared" si="0"/>
        <v>111</v>
      </c>
      <c r="O7" s="254">
        <f>Assumptions!D26*Assumptions!$G$172*(1+Assumptions!$G$227)^1</f>
        <v>167</v>
      </c>
      <c r="P7" s="254">
        <f>Assumptions!E26*Assumptions!$G$172*(1+Assumptions!$G$227)^2</f>
        <v>234</v>
      </c>
      <c r="Q7" s="254">
        <f>Assumptions!F26*Assumptions!$G$172*(1+Assumptions!$G$227)^3</f>
        <v>304</v>
      </c>
      <c r="R7" s="254">
        <f>Assumptions!G26*Assumptions!$G$172*(1+Assumptions!$G$227)^4</f>
        <v>380</v>
      </c>
      <c r="S7" s="244"/>
    </row>
    <row r="8" spans="1:19" ht="15.75" customHeight="1">
      <c r="A8" s="39" t="s">
        <v>166</v>
      </c>
      <c r="B8" s="332">
        <f>Assumptions!C27*Assumptions!B112*Assumptions!$G$173</f>
        <v>7.08</v>
      </c>
      <c r="C8" s="332">
        <f>Assumptions!C27*Assumptions!C112*Assumptions!$G$173</f>
        <v>7.9649999999999999</v>
      </c>
      <c r="D8" s="332">
        <f>Assumptions!C27*Assumptions!D112*Assumptions!$G$173</f>
        <v>10.62</v>
      </c>
      <c r="E8" s="332">
        <f>Assumptions!C27*Assumptions!E112*Assumptions!$G$173</f>
        <v>14.16</v>
      </c>
      <c r="F8" s="332">
        <f>Assumptions!C27*Assumptions!F112*Assumptions!$G$173</f>
        <v>17.7</v>
      </c>
      <c r="G8" s="332">
        <f>Assumptions!C27*Assumptions!G112*Assumptions!$G$173</f>
        <v>23.01</v>
      </c>
      <c r="H8" s="332">
        <f>Assumptions!C27*Assumptions!H112*Assumptions!$G$173</f>
        <v>24.78</v>
      </c>
      <c r="I8" s="332">
        <f>Assumptions!C27*Assumptions!J112*Assumptions!$G$173</f>
        <v>23.01</v>
      </c>
      <c r="J8" s="332">
        <f>Assumptions!C27*Assumptions!K112*Assumptions!$G$173</f>
        <v>17.7</v>
      </c>
      <c r="K8" s="332">
        <f>Assumptions!C27*Assumptions!L112*Assumptions!$G$173</f>
        <v>13.275</v>
      </c>
      <c r="L8" s="332">
        <f>Assumptions!C27*Assumptions!M112*Assumptions!$G$173</f>
        <v>9.7349999999999994</v>
      </c>
      <c r="M8" s="332">
        <f>Assumptions!C27*Assumptions!N112*Assumptions!$G$173</f>
        <v>7.9649999999999999</v>
      </c>
      <c r="N8" s="440">
        <f t="shared" si="0"/>
        <v>177.00000000000003</v>
      </c>
      <c r="O8" s="332">
        <f>Assumptions!D27*Assumptions!$G$173*(1+Assumptions!$G$227)^1</f>
        <v>230</v>
      </c>
      <c r="P8" s="332">
        <f>Assumptions!E27*Assumptions!$G$173*(1+Assumptions!$G$227)^2</f>
        <v>299</v>
      </c>
      <c r="Q8" s="332">
        <f>Assumptions!F27*Assumptions!$G$173*(1+Assumptions!$G$227)^3</f>
        <v>359</v>
      </c>
      <c r="R8" s="332">
        <f>Assumptions!G27*Assumptions!$G$173*(1+Assumptions!$G$227)^4</f>
        <v>413</v>
      </c>
      <c r="S8" s="244"/>
    </row>
    <row r="9" spans="1:19" ht="15.75" customHeight="1">
      <c r="A9" s="39" t="s">
        <v>518</v>
      </c>
      <c r="B9" s="332">
        <f>Assumptions!$B$32/12</f>
        <v>98.5</v>
      </c>
      <c r="C9" s="332">
        <f>Assumptions!$B$32/12</f>
        <v>98.5</v>
      </c>
      <c r="D9" s="332">
        <f>Assumptions!$B$32/12</f>
        <v>98.5</v>
      </c>
      <c r="E9" s="332">
        <f>Assumptions!$B$32/12</f>
        <v>98.5</v>
      </c>
      <c r="F9" s="332">
        <f>Assumptions!$B$32/12</f>
        <v>98.5</v>
      </c>
      <c r="G9" s="332">
        <f>Assumptions!$B$32/12</f>
        <v>98.5</v>
      </c>
      <c r="H9" s="332">
        <f>Assumptions!$B$32/12</f>
        <v>98.5</v>
      </c>
      <c r="I9" s="332">
        <f>Assumptions!$B$32/12</f>
        <v>98.5</v>
      </c>
      <c r="J9" s="332">
        <f>Assumptions!$B$32/12</f>
        <v>98.5</v>
      </c>
      <c r="K9" s="332">
        <f>Assumptions!$B$32/12</f>
        <v>98.5</v>
      </c>
      <c r="L9" s="332">
        <f>Assumptions!$B$32/12</f>
        <v>98.5</v>
      </c>
      <c r="M9" s="332">
        <f>Assumptions!$B$32/12</f>
        <v>98.5</v>
      </c>
      <c r="N9" s="440">
        <f t="shared" si="0"/>
        <v>1182</v>
      </c>
      <c r="O9" s="332">
        <f>N9*(1+Assumptions!$B$34)</f>
        <v>1229.28</v>
      </c>
      <c r="P9" s="332">
        <f>O9*(1+Assumptions!$B$34)</f>
        <v>1278.4512</v>
      </c>
      <c r="Q9" s="332">
        <f>P9*(1+Assumptions!$B$34)</f>
        <v>1329.589248</v>
      </c>
      <c r="R9" s="332">
        <f>Q9*(1+Assumptions!$B$34)</f>
        <v>1382.7728179200001</v>
      </c>
      <c r="S9" s="244"/>
    </row>
    <row r="10" spans="1:19" ht="16.5" customHeight="1">
      <c r="A10" s="38" t="s">
        <v>167</v>
      </c>
      <c r="B10" s="333">
        <f t="shared" ref="B10:M10" si="1">SUM(B4:B9)</f>
        <v>544.673</v>
      </c>
      <c r="C10" s="333">
        <f t="shared" si="1"/>
        <v>552.55799999999999</v>
      </c>
      <c r="D10" s="333">
        <f t="shared" si="1"/>
        <v>631.721</v>
      </c>
      <c r="E10" s="333">
        <f t="shared" si="1"/>
        <v>715.19549999999992</v>
      </c>
      <c r="F10" s="333">
        <f t="shared" si="1"/>
        <v>798.67000000000007</v>
      </c>
      <c r="G10" s="333">
        <f t="shared" si="1"/>
        <v>849.43799999999999</v>
      </c>
      <c r="H10" s="333">
        <f t="shared" si="1"/>
        <v>885.68449999999984</v>
      </c>
      <c r="I10" s="333">
        <f t="shared" si="1"/>
        <v>872.93299999999999</v>
      </c>
      <c r="J10" s="333">
        <f t="shared" si="1"/>
        <v>780.68849999999998</v>
      </c>
      <c r="K10" s="333">
        <f t="shared" si="1"/>
        <v>661.85249999999996</v>
      </c>
      <c r="L10" s="333">
        <f t="shared" si="1"/>
        <v>543.75450000000001</v>
      </c>
      <c r="M10" s="333">
        <f t="shared" si="1"/>
        <v>528.13149999999996</v>
      </c>
      <c r="N10" s="441">
        <f t="shared" si="0"/>
        <v>8365.3000000000011</v>
      </c>
      <c r="O10" s="333">
        <f>SUM(O4:O9)</f>
        <v>10079.480000000001</v>
      </c>
      <c r="P10" s="333">
        <f>SUM(P4:P9)</f>
        <v>12130.851199999999</v>
      </c>
      <c r="Q10" s="333">
        <f>SUM(Q4:Q9)</f>
        <v>14465.389247999999</v>
      </c>
      <c r="R10" s="333">
        <f>SUM(R4:R9)</f>
        <v>16688.972817919999</v>
      </c>
      <c r="S10" s="244"/>
    </row>
    <row r="11" spans="1:19" ht="15.75" customHeight="1">
      <c r="A11" s="247"/>
      <c r="B11" s="247"/>
      <c r="C11" s="247"/>
      <c r="D11" s="247"/>
      <c r="E11" s="247"/>
      <c r="F11" s="247"/>
      <c r="G11" s="247"/>
      <c r="H11" s="247"/>
      <c r="I11" s="247"/>
      <c r="J11" s="247"/>
      <c r="K11" s="247"/>
      <c r="L11" s="247"/>
      <c r="M11" s="247"/>
      <c r="N11" s="438"/>
      <c r="O11" s="247"/>
      <c r="P11" s="247"/>
      <c r="Q11" s="247"/>
      <c r="R11" s="247"/>
      <c r="S11" s="244"/>
    </row>
    <row r="12" spans="1:19" ht="15.75" customHeight="1">
      <c r="A12" s="64" t="s">
        <v>519</v>
      </c>
      <c r="B12" s="244"/>
      <c r="C12" s="244"/>
      <c r="D12" s="244"/>
      <c r="E12" s="244"/>
      <c r="F12" s="244"/>
      <c r="G12" s="244"/>
      <c r="H12" s="244"/>
      <c r="I12" s="244"/>
      <c r="J12" s="244"/>
      <c r="K12" s="244"/>
      <c r="L12" s="244"/>
      <c r="M12" s="244"/>
      <c r="N12" s="438"/>
      <c r="O12" s="247"/>
      <c r="P12" s="247"/>
      <c r="Q12" s="247"/>
      <c r="R12" s="247"/>
      <c r="S12" s="244"/>
    </row>
    <row r="13" spans="1:19" ht="15.75" customHeight="1">
      <c r="A13" s="39" t="s">
        <v>161</v>
      </c>
      <c r="B13" s="267">
        <f>-B4*(1-(Assumptions!C38+Assumptions!$G$177+Assumptions!B117))</f>
        <v>-237.61400000000003</v>
      </c>
      <c r="C13" s="267">
        <f>-C4*(1-(Assumptions!C38+Assumptions!$G$177+Assumptions!C117))</f>
        <v>-237.61400000000003</v>
      </c>
      <c r="D13" s="267">
        <f>-D4*(1-(Assumptions!C38+Assumptions!$G$177+Assumptions!D117))</f>
        <v>-277.77750000000003</v>
      </c>
      <c r="E13" s="267">
        <f>-E4*(1-(Assumptions!C38+Assumptions!$G$177+Assumptions!E117))</f>
        <v>-318.90300000000002</v>
      </c>
      <c r="F13" s="267">
        <f>-F4*(1-(Assumptions!C38+Assumptions!$G$177+Assumptions!F117))</f>
        <v>-360.9905</v>
      </c>
      <c r="G13" s="267">
        <f>-G4*(1-(Assumptions!C38+Assumptions!$G$177+Assumptions!G117))</f>
        <v>-384.8</v>
      </c>
      <c r="H13" s="267">
        <f>-H4*(1-(Assumptions!C38+Assumptions!$G$177+Assumptions!H117))</f>
        <v>-404.03999999999996</v>
      </c>
      <c r="I13" s="267">
        <f>-I4*(1-(Assumptions!C38+Assumptions!$G$177+Assumptions!J117))</f>
        <v>-404.03999999999996</v>
      </c>
      <c r="J13" s="267">
        <f>-J4*(1-(Assumptions!C38+Assumptions!$G$177+Assumptions!K117))</f>
        <v>-360.9905</v>
      </c>
      <c r="K13" s="267">
        <f>-K4*(1-(Assumptions!C38+Assumptions!$G$177+Assumptions!L117))</f>
        <v>-300.14400000000001</v>
      </c>
      <c r="L13" s="267">
        <f>-L4*(1-(Assumptions!C38+Assumptions!$G$177+Assumptions!M117))</f>
        <v>-240.74050000000003</v>
      </c>
      <c r="M13" s="267">
        <f>-M4*(1-(Assumptions!C38+Assumptions!$G$177+Assumptions!N117))</f>
        <v>-237.61400000000003</v>
      </c>
      <c r="N13" s="442">
        <f t="shared" ref="N13:N19" si="2">SUM(B13:M13)</f>
        <v>-3765.2679999999996</v>
      </c>
      <c r="O13" s="267">
        <f>-O4*(1-(Assumptions!D38+Assumptions!$G$177))</f>
        <v>-4021.16</v>
      </c>
      <c r="P13" s="267">
        <f>-P4*(1-(Assumptions!E38+Assumptions!$G$177))</f>
        <v>-4326</v>
      </c>
      <c r="Q13" s="267">
        <f>-Q4*(1-(Assumptions!F38+Assumptions!$G$177))</f>
        <v>-4652.38</v>
      </c>
      <c r="R13" s="267">
        <f>-R4*(1-(Assumptions!G38+Assumptions!$G$177))</f>
        <v>-5007.07</v>
      </c>
      <c r="S13" s="244"/>
    </row>
    <row r="14" spans="1:19" ht="15.75" customHeight="1">
      <c r="A14" s="39" t="s">
        <v>162</v>
      </c>
      <c r="B14" s="267">
        <f>-B5*(1-(Assumptions!C39+Assumptions!$G$178+Assumptions!B118))</f>
        <v>-26.726699999999997</v>
      </c>
      <c r="C14" s="267">
        <f>-C5*(1-(Assumptions!C39+Assumptions!$G$178+Assumptions!C118))</f>
        <v>-26.726699999999997</v>
      </c>
      <c r="D14" s="267">
        <f>-D5*(1-(Assumptions!C39+Assumptions!$G$178+Assumptions!D118))</f>
        <v>-30.221730000000008</v>
      </c>
      <c r="E14" s="267">
        <f>-E5*(1-(Assumptions!C39+Assumptions!$G$178+Assumptions!E118))</f>
        <v>-35.532805000000003</v>
      </c>
      <c r="F14" s="267">
        <f>-F5*(1-(Assumptions!C39+Assumptions!$G$178+Assumptions!F118))</f>
        <v>-41.118000000000009</v>
      </c>
      <c r="G14" s="267">
        <f>-G5*(1-(Assumptions!C39+Assumptions!$G$178+Assumptions!G118))</f>
        <v>-44.475970000000004</v>
      </c>
      <c r="H14" s="267">
        <f>-H5*(1-(Assumptions!C39+Assumptions!$G$178+Assumptions!H118))</f>
        <v>-46.497605</v>
      </c>
      <c r="I14" s="267">
        <f>-I5*(1-(Assumptions!C39+Assumptions!$G$178+Assumptions!J118))</f>
        <v>-44.475970000000004</v>
      </c>
      <c r="J14" s="267">
        <f>-J5*(1-(Assumptions!C39+Assumptions!$G$178+Assumptions!K118))</f>
        <v>-39.713135000000008</v>
      </c>
      <c r="K14" s="267">
        <f>-K5*(1-(Assumptions!C39+Assumptions!$G$178+Assumptions!L118))</f>
        <v>-32.380425000000002</v>
      </c>
      <c r="L14" s="267">
        <f>-L5*(1-(Assumptions!C39+Assumptions!$G$178+Assumptions!M118))</f>
        <v>-28.508480000000006</v>
      </c>
      <c r="M14" s="267">
        <f>-M5*(1-(Assumptions!C39+Assumptions!$G$178+Assumptions!N118))</f>
        <v>-24.499475000000004</v>
      </c>
      <c r="N14" s="442">
        <f t="shared" si="2"/>
        <v>-420.87699500000008</v>
      </c>
      <c r="O14" s="267">
        <f>-O5*(1-(Assumptions!D39+Assumptions!$G$178))</f>
        <v>-604.29600000000005</v>
      </c>
      <c r="P14" s="267">
        <f>-P5*(1-(Assumptions!E39+Assumptions!$G$178))</f>
        <v>-785.86200000000008</v>
      </c>
      <c r="Q14" s="267">
        <f>-Q5*(1-(Assumptions!F39+Assumptions!$G$178))</f>
        <v>-967.07600000000014</v>
      </c>
      <c r="R14" s="267">
        <f>-R5*(1-(Assumptions!G39+Assumptions!$G$178))</f>
        <v>-1142.0419999999999</v>
      </c>
      <c r="S14" s="244"/>
    </row>
    <row r="15" spans="1:19" ht="15.75" customHeight="1">
      <c r="A15" s="39" t="s">
        <v>163</v>
      </c>
      <c r="B15" s="267">
        <f>-B6*(1-(Assumptions!C40+Assumptions!$G$181+Assumptions!B119))</f>
        <v>-43.890000000000008</v>
      </c>
      <c r="C15" s="267">
        <f>-C6*(1-(Assumptions!C40+Assumptions!$G$181+Assumptions!C119))</f>
        <v>-47.88</v>
      </c>
      <c r="D15" s="267">
        <f>-D6*(1-(Assumptions!C40+Assumptions!$G$181+Assumptions!D119))</f>
        <v>-58.800000000000004</v>
      </c>
      <c r="E15" s="267">
        <f>-E6*(1-(Assumptions!C40+Assumptions!$G$181+Assumptions!E119))</f>
        <v>-68.040000000000006</v>
      </c>
      <c r="F15" s="267">
        <f>-F6*(1-(Assumptions!C40+Assumptions!$G$181+Assumptions!F119))</f>
        <v>-77.910000000000011</v>
      </c>
      <c r="G15" s="267">
        <f>-G6*(1-(Assumptions!C40+Assumptions!$G$181+Assumptions!G119))</f>
        <v>-85.33</v>
      </c>
      <c r="H15" s="267">
        <f>-H6*(1-(Assumptions!C40+Assumptions!$G$181+Assumptions!H119))</f>
        <v>-89.04</v>
      </c>
      <c r="I15" s="267">
        <f>-I6*(1-(Assumptions!C40+Assumptions!$G$181+Assumptions!J119))</f>
        <v>-85.33</v>
      </c>
      <c r="J15" s="267">
        <f>-J6*(1-(Assumptions!C40+Assumptions!$G$181+Assumptions!K119))</f>
        <v>-73.150000000000006</v>
      </c>
      <c r="K15" s="267">
        <f>-K6*(1-(Assumptions!C40+Assumptions!$G$181+Assumptions!L119))</f>
        <v>-58.800000000000004</v>
      </c>
      <c r="L15" s="267">
        <f>-L6*(1-(Assumptions!C40+Assumptions!$G$181+Assumptions!M119))</f>
        <v>-39.200000000000003</v>
      </c>
      <c r="M15" s="267">
        <f>-M6*(1-(Assumptions!C40+Assumptions!$G$181+Assumptions!N119))</f>
        <v>-35.910000000000004</v>
      </c>
      <c r="N15" s="442">
        <f t="shared" si="2"/>
        <v>-763.28</v>
      </c>
      <c r="O15" s="267">
        <f>-O6*(1-(Assumptions!D40+Assumptions!$G$181))</f>
        <v>-1211.6500000000001</v>
      </c>
      <c r="P15" s="267">
        <f>-P6*(1-(Assumptions!E40+Assumptions!$G$181))</f>
        <v>-1784.16</v>
      </c>
      <c r="Q15" s="267">
        <f>-Q6*(1-(Assumptions!F40+Assumptions!$G$181))</f>
        <v>-2498.04</v>
      </c>
      <c r="R15" s="267">
        <f>-R6*(1-(Assumptions!G40+Assumptions!$G$181))</f>
        <v>-3064.46</v>
      </c>
      <c r="S15" s="244"/>
    </row>
    <row r="16" spans="1:19" ht="15.75" customHeight="1">
      <c r="A16" s="39" t="s">
        <v>165</v>
      </c>
      <c r="B16" s="267">
        <f>-B7*(1-(Assumptions!C41+Assumptions!$G$179+Assumptions!B120))</f>
        <v>-6.2437499999999995</v>
      </c>
      <c r="C16" s="267">
        <f>-C7*(1-(Assumptions!C41+Assumptions!$G$179+Assumptions!C120))</f>
        <v>-6.2437499999999995</v>
      </c>
      <c r="D16" s="267">
        <f>-D7*(1-(Assumptions!C41+Assumptions!$G$179+Assumptions!D120))</f>
        <v>-6.66</v>
      </c>
      <c r="E16" s="267">
        <f>-E7*(1-(Assumptions!C41+Assumptions!$G$179+Assumptions!E120))</f>
        <v>-7.0762499999999999</v>
      </c>
      <c r="F16" s="267">
        <f>-F7*(1-(Assumptions!C41+Assumptions!$G$179+Assumptions!F120))</f>
        <v>-7.4924999999999997</v>
      </c>
      <c r="G16" s="267">
        <f>-G7*(1-(Assumptions!C41+Assumptions!$G$179+Assumptions!G120))</f>
        <v>-7.9087499999999995</v>
      </c>
      <c r="H16" s="267">
        <f>-H7*(1-(Assumptions!C41+Assumptions!$G$179+Assumptions!H120))</f>
        <v>-7.9087499999999995</v>
      </c>
      <c r="I16" s="267">
        <f>-I7*(1-(Assumptions!C41+Assumptions!$G$179+Assumptions!J120))</f>
        <v>-7.4924999999999997</v>
      </c>
      <c r="J16" s="267">
        <f>-J7*(1-(Assumptions!C41+Assumptions!$G$179+Assumptions!K120))</f>
        <v>-7.0762499999999999</v>
      </c>
      <c r="K16" s="267">
        <f>-K7*(1-(Assumptions!C41+Assumptions!$G$179+Assumptions!L120))</f>
        <v>-6.66</v>
      </c>
      <c r="L16" s="267">
        <f>-L7*(1-(Assumptions!C41+Assumptions!$G$179+Assumptions!M120))</f>
        <v>-6.2437499999999995</v>
      </c>
      <c r="M16" s="267">
        <f>-M7*(1-(Assumptions!C41+Assumptions!$G$179+Assumptions!N120))</f>
        <v>-6.2437499999999995</v>
      </c>
      <c r="N16" s="442">
        <f t="shared" si="2"/>
        <v>-83.25</v>
      </c>
      <c r="O16" s="267">
        <f>-O7*(1-(Assumptions!D41+Assumptions!$G$179))</f>
        <v>-121.91</v>
      </c>
      <c r="P16" s="267">
        <f>-P7*(1-(Assumptions!E41+Assumptions!$G$179))</f>
        <v>-168.48</v>
      </c>
      <c r="Q16" s="267">
        <f>-Q7*(1-(Assumptions!F41+Assumptions!$G$179))</f>
        <v>-215.83999999999997</v>
      </c>
      <c r="R16" s="267">
        <f>-R7*(1-(Assumptions!G41+Assumptions!$G$179))</f>
        <v>-266</v>
      </c>
      <c r="S16" s="244"/>
    </row>
    <row r="17" spans="1:19" ht="15.75" customHeight="1">
      <c r="A17" s="39" t="s">
        <v>166</v>
      </c>
      <c r="B17" s="268">
        <f>-B8*(1-(Assumptions!C42+Assumptions!$G$180+Assumptions!B121))</f>
        <v>-5.4516</v>
      </c>
      <c r="C17" s="268">
        <f>-C8*(1-(Assumptions!C42+Assumptions!$G$180+Assumptions!C121))</f>
        <v>-6.1330499999999999</v>
      </c>
      <c r="D17" s="268">
        <f>-D8*(1-(Assumptions!C42+Assumptions!$G$180+Assumptions!D121))</f>
        <v>-8.0711999999999993</v>
      </c>
      <c r="E17" s="268">
        <f>-E8*(1-(Assumptions!C42+Assumptions!$G$180+Assumptions!E121))</f>
        <v>-10.7616</v>
      </c>
      <c r="F17" s="268">
        <f>-F8*(1-(Assumptions!C42+Assumptions!$G$180+Assumptions!F121))</f>
        <v>-13.097999999999999</v>
      </c>
      <c r="G17" s="268">
        <f>-G8*(1-(Assumptions!C42+Assumptions!$G$180+Assumptions!G121))</f>
        <v>-16.5672</v>
      </c>
      <c r="H17" s="268">
        <f>-H8*(1-(Assumptions!C42+Assumptions!$G$180+Assumptions!H121))</f>
        <v>-17.8416</v>
      </c>
      <c r="I17" s="268">
        <f>-I8*(1-(Assumptions!C42+Assumptions!$G$180+Assumptions!J121))</f>
        <v>-16.7973</v>
      </c>
      <c r="J17" s="268">
        <f>-J8*(1-(Assumptions!C42+Assumptions!$G$180+Assumptions!K121))</f>
        <v>-13.097999999999999</v>
      </c>
      <c r="K17" s="268">
        <f>-K8*(1-(Assumptions!C42+Assumptions!$G$180+Assumptions!L121))</f>
        <v>-10.089</v>
      </c>
      <c r="L17" s="268">
        <f>-L8*(1-(Assumptions!C42+Assumptions!$G$180+Assumptions!M121))</f>
        <v>-7.3986000000000001</v>
      </c>
      <c r="M17" s="268">
        <f>-M8*(1-(Assumptions!C42+Assumptions!$G$180+Assumptions!N121))</f>
        <v>-6.1330499999999999</v>
      </c>
      <c r="N17" s="443">
        <f t="shared" si="2"/>
        <v>-131.4402</v>
      </c>
      <c r="O17" s="268">
        <f>-O8*(1-(Assumptions!D42+Assumptions!$G$180))</f>
        <v>-167.9</v>
      </c>
      <c r="P17" s="268">
        <f>-P8*(1-(Assumptions!E42+Assumptions!$G$180))</f>
        <v>-212.29</v>
      </c>
      <c r="Q17" s="268">
        <f>-Q8*(1-(Assumptions!F42+Assumptions!$G$180))</f>
        <v>-251.29999999999998</v>
      </c>
      <c r="R17" s="268">
        <f>-R8*(1-(Assumptions!G42+Assumptions!$G$180))</f>
        <v>-284.96999999999997</v>
      </c>
      <c r="S17" s="244"/>
    </row>
    <row r="18" spans="1:19" ht="15.75" customHeight="1">
      <c r="A18" s="39" t="s">
        <v>518</v>
      </c>
      <c r="B18" s="268">
        <f>-B9*(1-Assumptions!$B$31)</f>
        <v>-83.724999999999994</v>
      </c>
      <c r="C18" s="268">
        <f>-C9*(1-Assumptions!$B$31)</f>
        <v>-83.724999999999994</v>
      </c>
      <c r="D18" s="268">
        <f>-D9*(1-Assumptions!$B$31)</f>
        <v>-83.724999999999994</v>
      </c>
      <c r="E18" s="268">
        <f>-E9*(1-Assumptions!$B$31)</f>
        <v>-83.724999999999994</v>
      </c>
      <c r="F18" s="268">
        <f>-F9*(1-Assumptions!$B$31)</f>
        <v>-83.724999999999994</v>
      </c>
      <c r="G18" s="268">
        <f>-G9*(1-Assumptions!$B$31)</f>
        <v>-83.724999999999994</v>
      </c>
      <c r="H18" s="268">
        <f>-H9*(1-Assumptions!$B$31)</f>
        <v>-83.724999999999994</v>
      </c>
      <c r="I18" s="268">
        <f>-I9*(1-Assumptions!$B$31)</f>
        <v>-83.724999999999994</v>
      </c>
      <c r="J18" s="268">
        <f>-J9*(1-Assumptions!$B$31)</f>
        <v>-83.724999999999994</v>
      </c>
      <c r="K18" s="268">
        <f>-K9*(1-Assumptions!$B$31)</f>
        <v>-83.724999999999994</v>
      </c>
      <c r="L18" s="268">
        <f>-L9*(1-Assumptions!$B$31)</f>
        <v>-83.724999999999994</v>
      </c>
      <c r="M18" s="268">
        <f>-M9*(1-Assumptions!$B$31)</f>
        <v>-83.724999999999994</v>
      </c>
      <c r="N18" s="443">
        <f t="shared" si="2"/>
        <v>-1004.7000000000002</v>
      </c>
      <c r="O18" s="268">
        <f>-O9*(1-Assumptions!$B$31)</f>
        <v>-1044.8879999999999</v>
      </c>
      <c r="P18" s="268">
        <f>-P9*(1-Assumptions!$B$31)</f>
        <v>-1086.68352</v>
      </c>
      <c r="Q18" s="268">
        <f>-Q9*(1-Assumptions!$B$31)</f>
        <v>-1130.1508607999999</v>
      </c>
      <c r="R18" s="268">
        <f>-R9*(1-Assumptions!$B$31)</f>
        <v>-1175.3568952319999</v>
      </c>
      <c r="S18" s="244"/>
    </row>
    <row r="19" spans="1:19" ht="16.5" customHeight="1">
      <c r="A19" s="38" t="s">
        <v>520</v>
      </c>
      <c r="B19" s="248">
        <f t="shared" ref="B19:M19" si="3">SUM(B13:B18)</f>
        <v>-403.65104999999994</v>
      </c>
      <c r="C19" s="248">
        <f t="shared" si="3"/>
        <v>-408.32249999999999</v>
      </c>
      <c r="D19" s="248">
        <f t="shared" si="3"/>
        <v>-465.25543000000005</v>
      </c>
      <c r="E19" s="248">
        <f t="shared" si="3"/>
        <v>-524.03865500000006</v>
      </c>
      <c r="F19" s="248">
        <f t="shared" si="3"/>
        <v>-584.33400000000006</v>
      </c>
      <c r="G19" s="248">
        <f t="shared" si="3"/>
        <v>-622.8069200000001</v>
      </c>
      <c r="H19" s="248">
        <f t="shared" si="3"/>
        <v>-649.052955</v>
      </c>
      <c r="I19" s="248">
        <f t="shared" si="3"/>
        <v>-641.86076999999989</v>
      </c>
      <c r="J19" s="248">
        <f t="shared" si="3"/>
        <v>-577.75288500000011</v>
      </c>
      <c r="K19" s="248">
        <f t="shared" si="3"/>
        <v>-491.79842500000007</v>
      </c>
      <c r="L19" s="248">
        <f t="shared" si="3"/>
        <v>-405.81632999999999</v>
      </c>
      <c r="M19" s="248">
        <f t="shared" si="3"/>
        <v>-394.1252750000001</v>
      </c>
      <c r="N19" s="444">
        <f t="shared" si="2"/>
        <v>-6168.8151950000001</v>
      </c>
      <c r="O19" s="248">
        <f>SUM(O13:O18)</f>
        <v>-7171.8039999999992</v>
      </c>
      <c r="P19" s="248">
        <f>SUM(P13:P18)</f>
        <v>-8363.47552</v>
      </c>
      <c r="Q19" s="248">
        <f>SUM(Q13:Q18)</f>
        <v>-9714.786860799999</v>
      </c>
      <c r="R19" s="248">
        <f>SUM(R13:R18)</f>
        <v>-10939.898895232</v>
      </c>
      <c r="S19" s="244"/>
    </row>
    <row r="20" spans="1:19" ht="15.75" customHeight="1">
      <c r="A20" s="249" t="s">
        <v>175</v>
      </c>
      <c r="B20" s="250">
        <f t="shared" ref="B20:R20" si="4">1+B19/B10</f>
        <v>0.25891121829060748</v>
      </c>
      <c r="C20" s="250">
        <f t="shared" si="4"/>
        <v>0.2610323260182642</v>
      </c>
      <c r="D20" s="250">
        <f t="shared" si="4"/>
        <v>0.26351121776860342</v>
      </c>
      <c r="E20" s="250">
        <f t="shared" si="4"/>
        <v>0.26727914954722154</v>
      </c>
      <c r="F20" s="250">
        <f t="shared" si="4"/>
        <v>0.26836615873890346</v>
      </c>
      <c r="G20" s="250">
        <f t="shared" si="4"/>
        <v>0.26680120267753493</v>
      </c>
      <c r="H20" s="250">
        <f t="shared" si="4"/>
        <v>0.2671736323713465</v>
      </c>
      <c r="I20" s="250">
        <f t="shared" si="4"/>
        <v>0.26470786417743408</v>
      </c>
      <c r="J20" s="250">
        <f t="shared" si="4"/>
        <v>0.25994441444955307</v>
      </c>
      <c r="K20" s="250">
        <f t="shared" si="4"/>
        <v>0.25693651531119077</v>
      </c>
      <c r="L20" s="250">
        <f t="shared" si="4"/>
        <v>0.25367729370515557</v>
      </c>
      <c r="M20" s="250">
        <f t="shared" si="4"/>
        <v>0.25373647472267769</v>
      </c>
      <c r="N20" s="445">
        <f t="shared" si="4"/>
        <v>0.26257095441884937</v>
      </c>
      <c r="O20" s="250">
        <f t="shared" si="4"/>
        <v>0.28847480227154598</v>
      </c>
      <c r="P20" s="250">
        <f t="shared" si="4"/>
        <v>0.31056152761976008</v>
      </c>
      <c r="Q20" s="250">
        <f t="shared" si="4"/>
        <v>0.32841165251441984</v>
      </c>
      <c r="R20" s="250">
        <f t="shared" si="4"/>
        <v>0.34448338944592549</v>
      </c>
      <c r="S20" s="244"/>
    </row>
    <row r="21" spans="1:19" ht="15.75" customHeight="1">
      <c r="A21" s="247"/>
      <c r="B21" s="247"/>
      <c r="C21" s="247"/>
      <c r="D21" s="247"/>
      <c r="E21" s="247"/>
      <c r="F21" s="247"/>
      <c r="G21" s="247"/>
      <c r="H21" s="247"/>
      <c r="I21" s="247"/>
      <c r="J21" s="247"/>
      <c r="K21" s="247"/>
      <c r="L21" s="247"/>
      <c r="M21" s="247"/>
      <c r="N21" s="438"/>
      <c r="O21" s="247"/>
      <c r="P21" s="247"/>
      <c r="Q21" s="247"/>
      <c r="R21" s="247"/>
      <c r="S21" s="244"/>
    </row>
    <row r="22" spans="1:19" ht="15.75" customHeight="1">
      <c r="A22" s="64" t="s">
        <v>521</v>
      </c>
      <c r="B22" s="251"/>
      <c r="C22" s="251"/>
      <c r="D22" s="251"/>
      <c r="E22" s="251"/>
      <c r="F22" s="251"/>
      <c r="G22" s="251"/>
      <c r="H22" s="251"/>
      <c r="I22" s="251"/>
      <c r="J22" s="251"/>
      <c r="K22" s="251"/>
      <c r="L22" s="251"/>
      <c r="M22" s="251"/>
      <c r="N22" s="446"/>
      <c r="O22" s="251"/>
      <c r="P22" s="251"/>
      <c r="Q22" s="251"/>
      <c r="R22" s="251"/>
      <c r="S22" s="244"/>
    </row>
    <row r="23" spans="1:19" ht="16.5" customHeight="1">
      <c r="A23" s="38" t="s">
        <v>522</v>
      </c>
      <c r="B23" s="333">
        <f t="shared" ref="B23:R23" si="5">B10+B19</f>
        <v>141.02195000000006</v>
      </c>
      <c r="C23" s="333">
        <f t="shared" si="5"/>
        <v>144.2355</v>
      </c>
      <c r="D23" s="333">
        <f t="shared" si="5"/>
        <v>166.46556999999996</v>
      </c>
      <c r="E23" s="333">
        <f t="shared" si="5"/>
        <v>191.15684499999986</v>
      </c>
      <c r="F23" s="333">
        <f t="shared" si="5"/>
        <v>214.33600000000001</v>
      </c>
      <c r="G23" s="333">
        <f t="shared" si="5"/>
        <v>226.63107999999988</v>
      </c>
      <c r="H23" s="333">
        <f t="shared" si="5"/>
        <v>236.63154499999985</v>
      </c>
      <c r="I23" s="333">
        <f t="shared" si="5"/>
        <v>231.0722300000001</v>
      </c>
      <c r="J23" s="333">
        <f t="shared" si="5"/>
        <v>202.93561499999987</v>
      </c>
      <c r="K23" s="333">
        <f t="shared" si="5"/>
        <v>170.0540749999999</v>
      </c>
      <c r="L23" s="333">
        <f t="shared" si="5"/>
        <v>137.93817000000001</v>
      </c>
      <c r="M23" s="333">
        <f t="shared" si="5"/>
        <v>134.00622499999986</v>
      </c>
      <c r="N23" s="441">
        <f t="shared" si="5"/>
        <v>2196.484805000001</v>
      </c>
      <c r="O23" s="333">
        <f t="shared" si="5"/>
        <v>2907.6760000000022</v>
      </c>
      <c r="P23" s="333">
        <f t="shared" si="5"/>
        <v>3767.3756799999992</v>
      </c>
      <c r="Q23" s="333">
        <f t="shared" si="5"/>
        <v>4750.6023872000005</v>
      </c>
      <c r="R23" s="333">
        <f t="shared" si="5"/>
        <v>5749.0739226879996</v>
      </c>
      <c r="S23" s="244"/>
    </row>
    <row r="24" spans="1:19" ht="15.75" customHeight="1">
      <c r="A24" s="249" t="s">
        <v>175</v>
      </c>
      <c r="B24" s="250">
        <f t="shared" ref="B24:R24" si="6">B23/B10</f>
        <v>0.25891121829060748</v>
      </c>
      <c r="C24" s="250">
        <f t="shared" si="6"/>
        <v>0.26103232601826415</v>
      </c>
      <c r="D24" s="250">
        <f t="shared" si="6"/>
        <v>0.26351121776860348</v>
      </c>
      <c r="E24" s="250">
        <f t="shared" si="6"/>
        <v>0.26727914954722154</v>
      </c>
      <c r="F24" s="250">
        <f t="shared" si="6"/>
        <v>0.2683661587389034</v>
      </c>
      <c r="G24" s="250">
        <f t="shared" si="6"/>
        <v>0.26680120267753488</v>
      </c>
      <c r="H24" s="250">
        <f t="shared" si="6"/>
        <v>0.26717363237134656</v>
      </c>
      <c r="I24" s="250">
        <f t="shared" si="6"/>
        <v>0.26470786417743414</v>
      </c>
      <c r="J24" s="250">
        <f t="shared" si="6"/>
        <v>0.25994441444955302</v>
      </c>
      <c r="K24" s="250">
        <f t="shared" si="6"/>
        <v>0.25693651531119077</v>
      </c>
      <c r="L24" s="250">
        <f t="shared" si="6"/>
        <v>0.25367729370515557</v>
      </c>
      <c r="M24" s="250">
        <f t="shared" si="6"/>
        <v>0.25373647472267774</v>
      </c>
      <c r="N24" s="445">
        <f t="shared" si="6"/>
        <v>0.26257095441884937</v>
      </c>
      <c r="O24" s="250">
        <f t="shared" si="6"/>
        <v>0.28847480227154593</v>
      </c>
      <c r="P24" s="250">
        <f t="shared" si="6"/>
        <v>0.31056152761976008</v>
      </c>
      <c r="Q24" s="250">
        <f t="shared" si="6"/>
        <v>0.32841165251441984</v>
      </c>
      <c r="R24" s="250">
        <f t="shared" si="6"/>
        <v>0.34448338944592549</v>
      </c>
      <c r="S24" s="244"/>
    </row>
    <row r="25" spans="1:19" ht="15.75" customHeight="1">
      <c r="A25" s="16" t="s">
        <v>523</v>
      </c>
      <c r="B25" s="244"/>
      <c r="C25" s="244"/>
      <c r="D25" s="244"/>
      <c r="E25" s="244"/>
      <c r="F25" s="244"/>
      <c r="G25" s="244"/>
      <c r="H25" s="244"/>
      <c r="I25" s="244"/>
      <c r="J25" s="244"/>
      <c r="K25" s="244"/>
      <c r="L25" s="244"/>
      <c r="M25" s="244"/>
      <c r="N25" s="447"/>
      <c r="O25" s="244"/>
      <c r="P25" s="244"/>
      <c r="Q25" s="244"/>
      <c r="R25" s="244"/>
      <c r="S25" s="244"/>
    </row>
  </sheetData>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A1:R32"/>
  <sheetViews>
    <sheetView zoomScaleNormal="100" workbookViewId="0">
      <pane xSplit="1" ySplit="2" topLeftCell="B3" activePane="bottomRight" state="frozen"/>
      <selection pane="topRight"/>
      <selection pane="bottomLeft"/>
      <selection pane="bottomRight" activeCell="D37" sqref="D37"/>
    </sheetView>
  </sheetViews>
  <sheetFormatPr baseColWidth="10" defaultColWidth="11" defaultRowHeight="15.75" customHeight="1"/>
  <cols>
    <col min="1" max="1" width="30.1640625" customWidth="1"/>
    <col min="2" max="13" width="14" customWidth="1"/>
    <col min="14" max="18" width="16.5" customWidth="1"/>
  </cols>
  <sheetData>
    <row r="1" spans="1:18" ht="16.5" customHeight="1">
      <c r="A1" s="1" t="s">
        <v>524</v>
      </c>
      <c r="B1" s="1"/>
      <c r="C1" s="1"/>
      <c r="D1" s="1"/>
      <c r="E1" s="1"/>
      <c r="F1" s="1"/>
      <c r="G1" s="1"/>
      <c r="H1" s="1"/>
      <c r="I1" s="1"/>
      <c r="J1" s="1"/>
      <c r="K1" s="1"/>
      <c r="L1" s="1"/>
      <c r="M1" s="1"/>
      <c r="N1" s="436"/>
      <c r="O1" s="1"/>
      <c r="P1" s="1"/>
      <c r="Q1" s="1"/>
      <c r="R1" s="1"/>
    </row>
    <row r="2" spans="1:18" ht="15.75" customHeight="1">
      <c r="A2" s="247"/>
      <c r="B2" s="246">
        <v>46048</v>
      </c>
      <c r="C2" s="246">
        <v>46079</v>
      </c>
      <c r="D2" s="246">
        <v>46107</v>
      </c>
      <c r="E2" s="246">
        <v>46138</v>
      </c>
      <c r="F2" s="246">
        <v>46168</v>
      </c>
      <c r="G2" s="246">
        <v>46199</v>
      </c>
      <c r="H2" s="246">
        <v>46229</v>
      </c>
      <c r="I2" s="246">
        <v>46260</v>
      </c>
      <c r="J2" s="246">
        <v>46291</v>
      </c>
      <c r="K2" s="246">
        <v>46321</v>
      </c>
      <c r="L2" s="246">
        <v>46352</v>
      </c>
      <c r="M2" s="246">
        <v>46382</v>
      </c>
      <c r="N2" s="437" t="s">
        <v>512</v>
      </c>
      <c r="O2" s="69" t="s">
        <v>513</v>
      </c>
      <c r="P2" s="69" t="s">
        <v>514</v>
      </c>
      <c r="Q2" s="69" t="s">
        <v>515</v>
      </c>
      <c r="R2" s="69" t="s">
        <v>516</v>
      </c>
    </row>
    <row r="3" spans="1:18" ht="15.75" customHeight="1">
      <c r="A3" s="64" t="s">
        <v>525</v>
      </c>
      <c r="B3" s="334">
        <f>'Revenue Build'!B10</f>
        <v>544.673</v>
      </c>
      <c r="C3" s="334">
        <f>'Revenue Build'!C10</f>
        <v>552.55799999999999</v>
      </c>
      <c r="D3" s="334">
        <f>'Revenue Build'!D10</f>
        <v>631.721</v>
      </c>
      <c r="E3" s="334">
        <f>'Revenue Build'!E10</f>
        <v>715.19549999999992</v>
      </c>
      <c r="F3" s="334">
        <f>'Revenue Build'!F10</f>
        <v>798.67000000000007</v>
      </c>
      <c r="G3" s="334">
        <f>'Revenue Build'!G10</f>
        <v>849.43799999999999</v>
      </c>
      <c r="H3" s="334">
        <f>'Revenue Build'!H10</f>
        <v>885.68449999999984</v>
      </c>
      <c r="I3" s="334">
        <f>'Revenue Build'!I10</f>
        <v>872.93299999999999</v>
      </c>
      <c r="J3" s="334">
        <f>'Revenue Build'!J10</f>
        <v>780.68849999999998</v>
      </c>
      <c r="K3" s="334">
        <f>'Revenue Build'!K10</f>
        <v>661.85249999999996</v>
      </c>
      <c r="L3" s="334">
        <f>'Revenue Build'!L10</f>
        <v>543.75450000000001</v>
      </c>
      <c r="M3" s="334">
        <f>'Revenue Build'!M10</f>
        <v>528.13149999999996</v>
      </c>
      <c r="N3" s="448">
        <f>SUM(B3:M3)</f>
        <v>8365.3000000000011</v>
      </c>
      <c r="O3" s="334">
        <f>'Revenue Build'!O10</f>
        <v>10079.480000000001</v>
      </c>
      <c r="P3" s="334">
        <f>'Revenue Build'!P10</f>
        <v>12130.851199999999</v>
      </c>
      <c r="Q3" s="334">
        <f>'Revenue Build'!Q10</f>
        <v>14465.389247999999</v>
      </c>
      <c r="R3" s="334">
        <f>'Revenue Build'!R10</f>
        <v>16688.972817919999</v>
      </c>
    </row>
    <row r="4" spans="1:18" ht="15.75" customHeight="1">
      <c r="A4" s="39" t="s">
        <v>526</v>
      </c>
      <c r="B4" s="254">
        <f>'Revenue Build'!B19</f>
        <v>-403.65104999999994</v>
      </c>
      <c r="C4" s="254">
        <f>'Revenue Build'!C19</f>
        <v>-408.32249999999999</v>
      </c>
      <c r="D4" s="254">
        <f>'Revenue Build'!D19</f>
        <v>-465.25543000000005</v>
      </c>
      <c r="E4" s="254">
        <f>'Revenue Build'!E19</f>
        <v>-524.03865500000006</v>
      </c>
      <c r="F4" s="254">
        <f>'Revenue Build'!F19</f>
        <v>-584.33400000000006</v>
      </c>
      <c r="G4" s="254">
        <f>'Revenue Build'!G19</f>
        <v>-622.8069200000001</v>
      </c>
      <c r="H4" s="254">
        <f>'Revenue Build'!H19</f>
        <v>-649.052955</v>
      </c>
      <c r="I4" s="254">
        <f>'Revenue Build'!I19</f>
        <v>-641.86076999999989</v>
      </c>
      <c r="J4" s="254">
        <f>'Revenue Build'!J19</f>
        <v>-577.75288500000011</v>
      </c>
      <c r="K4" s="254">
        <f>'Revenue Build'!K19</f>
        <v>-491.79842500000007</v>
      </c>
      <c r="L4" s="254">
        <f>'Revenue Build'!L19</f>
        <v>-405.81632999999999</v>
      </c>
      <c r="M4" s="254">
        <f>'Revenue Build'!M19</f>
        <v>-394.1252750000001</v>
      </c>
      <c r="N4" s="449">
        <f>SUM(B4:M4)</f>
        <v>-6168.8151950000001</v>
      </c>
      <c r="O4" s="254">
        <f>'Revenue Build'!O19</f>
        <v>-7171.8039999999992</v>
      </c>
      <c r="P4" s="254">
        <f>'Revenue Build'!P19</f>
        <v>-8363.47552</v>
      </c>
      <c r="Q4" s="254">
        <f>'Revenue Build'!Q19</f>
        <v>-9714.786860799999</v>
      </c>
      <c r="R4" s="254">
        <f>'Revenue Build'!R19</f>
        <v>-10939.898895232</v>
      </c>
    </row>
    <row r="5" spans="1:18" ht="16.5" customHeight="1">
      <c r="A5" s="38" t="s">
        <v>522</v>
      </c>
      <c r="B5" s="333">
        <f t="shared" ref="B5:R5" si="0">B3+B4</f>
        <v>141.02195000000006</v>
      </c>
      <c r="C5" s="333">
        <f t="shared" si="0"/>
        <v>144.2355</v>
      </c>
      <c r="D5" s="333">
        <f t="shared" si="0"/>
        <v>166.46556999999996</v>
      </c>
      <c r="E5" s="333">
        <f t="shared" si="0"/>
        <v>191.15684499999986</v>
      </c>
      <c r="F5" s="333">
        <f t="shared" si="0"/>
        <v>214.33600000000001</v>
      </c>
      <c r="G5" s="333">
        <f t="shared" si="0"/>
        <v>226.63107999999988</v>
      </c>
      <c r="H5" s="333">
        <f t="shared" si="0"/>
        <v>236.63154499999985</v>
      </c>
      <c r="I5" s="333">
        <f t="shared" si="0"/>
        <v>231.0722300000001</v>
      </c>
      <c r="J5" s="333">
        <f t="shared" si="0"/>
        <v>202.93561499999987</v>
      </c>
      <c r="K5" s="333">
        <f t="shared" si="0"/>
        <v>170.0540749999999</v>
      </c>
      <c r="L5" s="333">
        <f t="shared" si="0"/>
        <v>137.93817000000001</v>
      </c>
      <c r="M5" s="333">
        <f t="shared" si="0"/>
        <v>134.00622499999986</v>
      </c>
      <c r="N5" s="441">
        <f t="shared" si="0"/>
        <v>2196.484805000001</v>
      </c>
      <c r="O5" s="333">
        <f t="shared" si="0"/>
        <v>2907.6760000000022</v>
      </c>
      <c r="P5" s="333">
        <f t="shared" si="0"/>
        <v>3767.3756799999992</v>
      </c>
      <c r="Q5" s="333">
        <f t="shared" si="0"/>
        <v>4750.6023872000005</v>
      </c>
      <c r="R5" s="333">
        <f t="shared" si="0"/>
        <v>5749.0739226879996</v>
      </c>
    </row>
    <row r="6" spans="1:18" ht="15.75" customHeight="1">
      <c r="A6" s="249" t="s">
        <v>175</v>
      </c>
      <c r="B6" s="250">
        <f t="shared" ref="B6:R6" si="1">B5/B3</f>
        <v>0.25891121829060748</v>
      </c>
      <c r="C6" s="250">
        <f t="shared" si="1"/>
        <v>0.26103232601826415</v>
      </c>
      <c r="D6" s="250">
        <f t="shared" si="1"/>
        <v>0.26351121776860348</v>
      </c>
      <c r="E6" s="250">
        <f t="shared" si="1"/>
        <v>0.26727914954722154</v>
      </c>
      <c r="F6" s="250">
        <f t="shared" si="1"/>
        <v>0.2683661587389034</v>
      </c>
      <c r="G6" s="250">
        <f t="shared" si="1"/>
        <v>0.26680120267753488</v>
      </c>
      <c r="H6" s="250">
        <f t="shared" si="1"/>
        <v>0.26717363237134656</v>
      </c>
      <c r="I6" s="250">
        <f t="shared" si="1"/>
        <v>0.26470786417743414</v>
      </c>
      <c r="J6" s="250">
        <f t="shared" si="1"/>
        <v>0.25994441444955302</v>
      </c>
      <c r="K6" s="250">
        <f t="shared" si="1"/>
        <v>0.25693651531119077</v>
      </c>
      <c r="L6" s="250">
        <f t="shared" si="1"/>
        <v>0.25367729370515557</v>
      </c>
      <c r="M6" s="250">
        <f t="shared" si="1"/>
        <v>0.25373647472267774</v>
      </c>
      <c r="N6" s="450">
        <f t="shared" si="1"/>
        <v>0.26257095441884937</v>
      </c>
      <c r="O6" s="250">
        <f t="shared" si="1"/>
        <v>0.28847480227154593</v>
      </c>
      <c r="P6" s="250">
        <f t="shared" si="1"/>
        <v>0.31056152761976008</v>
      </c>
      <c r="Q6" s="250">
        <f t="shared" si="1"/>
        <v>0.32841165251441984</v>
      </c>
      <c r="R6" s="250">
        <f t="shared" si="1"/>
        <v>0.34448338944592549</v>
      </c>
    </row>
    <row r="7" spans="1:18" ht="15.75" customHeight="1">
      <c r="A7" s="64"/>
      <c r="B7" s="247"/>
      <c r="C7" s="247"/>
      <c r="D7" s="247"/>
      <c r="E7" s="247"/>
      <c r="F7" s="247"/>
      <c r="G7" s="247"/>
      <c r="H7" s="247"/>
      <c r="I7" s="247"/>
      <c r="J7" s="247"/>
      <c r="K7" s="247"/>
      <c r="L7" s="247"/>
      <c r="M7" s="247"/>
      <c r="N7" s="451"/>
      <c r="O7" s="247"/>
      <c r="P7" s="247"/>
      <c r="Q7" s="247"/>
      <c r="R7" s="247"/>
    </row>
    <row r="8" spans="1:18" ht="15.75" customHeight="1">
      <c r="A8" s="64" t="s">
        <v>527</v>
      </c>
      <c r="B8" s="253"/>
      <c r="C8" s="253"/>
      <c r="D8" s="253"/>
      <c r="E8" s="253"/>
      <c r="F8" s="253"/>
      <c r="G8" s="253"/>
      <c r="H8" s="253"/>
      <c r="I8" s="253"/>
      <c r="J8" s="253"/>
      <c r="K8" s="253"/>
      <c r="L8" s="253"/>
      <c r="M8" s="253"/>
      <c r="N8" s="452"/>
      <c r="O8" s="253"/>
      <c r="P8" s="253"/>
      <c r="Q8" s="253"/>
      <c r="R8" s="253"/>
    </row>
    <row r="9" spans="1:18" ht="15.75" customHeight="1">
      <c r="A9" s="39" t="s">
        <v>528</v>
      </c>
      <c r="B9" s="254">
        <f>Assumptions!$C50*Assumptions!$G$158*(0.7/12+0.3*'Revenue Build'!B10/'Revenue Build'!$N10)</f>
        <v>48.666644750736175</v>
      </c>
      <c r="C9" s="254">
        <f>Assumptions!$C50*Assumptions!$G$158*(0.7/12+0.3*'Revenue Build'!C10/'Revenue Build'!$N10)</f>
        <v>48.843379297016639</v>
      </c>
      <c r="D9" s="254">
        <f>Assumptions!$C50*Assumptions!$G$158*(0.7/12+0.3*'Revenue Build'!D10/'Revenue Build'!$N10)</f>
        <v>50.617740348024974</v>
      </c>
      <c r="E9" s="254">
        <f>Assumptions!$C50*Assumptions!$G$158*(0.7/12+0.3*'Revenue Build'!E10/'Revenue Build'!$N10)</f>
        <v>52.488739445487106</v>
      </c>
      <c r="F9" s="254">
        <f>Assumptions!$C50*Assumptions!$G$158*(0.7/12+0.3*'Revenue Build'!F10/'Revenue Build'!$N10)</f>
        <v>54.359738542949238</v>
      </c>
      <c r="G9" s="254">
        <f>Assumptions!$C50*Assumptions!$G$158*(0.7/12+0.3*'Revenue Build'!G10/'Revenue Build'!$N10)</f>
        <v>55.497653501169509</v>
      </c>
      <c r="H9" s="254">
        <f>Assumptions!$C50*Assumptions!$G$158*(0.7/12+0.3*'Revenue Build'!H10/'Revenue Build'!$N10)</f>
        <v>56.310083270574069</v>
      </c>
      <c r="I9" s="254">
        <f>Assumptions!$C50*Assumptions!$G$158*(0.7/12+0.3*'Revenue Build'!I10/'Revenue Build'!$N10)</f>
        <v>56.02427089683971</v>
      </c>
      <c r="J9" s="254">
        <f>Assumptions!$C50*Assumptions!$G$158*(0.7/12+0.3*'Revenue Build'!J10/'Revenue Build'!$N10)</f>
        <v>53.956700845556441</v>
      </c>
      <c r="K9" s="254">
        <f>Assumptions!$C50*Assumptions!$G$158*(0.7/12+0.3*'Revenue Build'!K10/'Revenue Build'!$N10)</f>
        <v>51.293108386230415</v>
      </c>
      <c r="L9" s="254">
        <f>Assumptions!$C50*Assumptions!$G$158*(0.7/12+0.3*'Revenue Build'!L10/'Revenue Build'!$N10)</f>
        <v>48.646057473531528</v>
      </c>
      <c r="M9" s="254">
        <f>Assumptions!$C50*Assumptions!$G$158*(0.7/12+0.3*'Revenue Build'!M10/'Revenue Build'!$N10)</f>
        <v>48.295883241884134</v>
      </c>
      <c r="N9" s="449">
        <f>SUM(B9:M9)</f>
        <v>624.99999999999989</v>
      </c>
      <c r="O9" s="254">
        <f>Assumptions!D50*Assumptions!$G$158</f>
        <v>656</v>
      </c>
      <c r="P9" s="254">
        <f>Assumptions!E50*Assumptions!$G$158</f>
        <v>688</v>
      </c>
      <c r="Q9" s="254">
        <f>Assumptions!F50*Assumptions!$G$158</f>
        <v>723</v>
      </c>
      <c r="R9" s="254">
        <f>Assumptions!G50*Assumptions!$G$158</f>
        <v>759</v>
      </c>
    </row>
    <row r="10" spans="1:18" ht="15.75" customHeight="1">
      <c r="A10" s="38" t="s">
        <v>529</v>
      </c>
      <c r="B10" s="335">
        <f>Assumptions!$C52*(0.7/12+0.3*'Revenue Build'!B10/'Revenue Build'!$N10)</f>
        <v>16.274126004646178</v>
      </c>
      <c r="C10" s="335">
        <f>Assumptions!$C52*(0.7/12+0.3*'Revenue Build'!C10/'Revenue Build'!$N10)</f>
        <v>16.333226036922362</v>
      </c>
      <c r="D10" s="335">
        <f>Assumptions!$C52*(0.7/12+0.3*'Revenue Build'!D10/'Revenue Build'!$N10)</f>
        <v>16.926572372379553</v>
      </c>
      <c r="E10" s="335">
        <f>Assumptions!$C52*(0.7/12+0.3*'Revenue Build'!E10/'Revenue Build'!$N10)</f>
        <v>17.552234470570887</v>
      </c>
      <c r="F10" s="335">
        <f>Assumptions!$C52*(0.7/12+0.3*'Revenue Build'!F10/'Revenue Build'!$N10)</f>
        <v>18.177896568762225</v>
      </c>
      <c r="G10" s="335">
        <f>Assumptions!$C52*(0.7/12+0.3*'Revenue Build'!G10/'Revenue Build'!$N10)</f>
        <v>18.558415330791085</v>
      </c>
      <c r="H10" s="335">
        <f>Assumptions!$C52*(0.7/12+0.3*'Revenue Build'!H10/'Revenue Build'!$N10)</f>
        <v>18.83009184567997</v>
      </c>
      <c r="I10" s="335">
        <f>Assumptions!$C52*(0.7/12+0.3*'Revenue Build'!I10/'Revenue Build'!$N10)</f>
        <v>18.7345161879032</v>
      </c>
      <c r="J10" s="335">
        <f>Assumptions!$C52*(0.7/12+0.3*'Revenue Build'!J10/'Revenue Build'!$N10)</f>
        <v>18.043120762754072</v>
      </c>
      <c r="K10" s="335">
        <f>Assumptions!$C52*(0.7/12+0.3*'Revenue Build'!K10/'Revenue Build'!$N10)</f>
        <v>17.152415444355452</v>
      </c>
      <c r="L10" s="335">
        <f>Assumptions!$C52*(0.7/12+0.3*'Revenue Build'!L10/'Revenue Build'!$N10)</f>
        <v>16.267241619148944</v>
      </c>
      <c r="M10" s="335">
        <f>Assumptions!$C52*(0.7/12+0.3*'Revenue Build'!M10/'Revenue Build'!$N10)</f>
        <v>16.150143356086055</v>
      </c>
      <c r="N10" s="439">
        <f>SUM(B10:M10)</f>
        <v>208.99999999999997</v>
      </c>
      <c r="O10" s="335">
        <f>Assumptions!D52</f>
        <v>252</v>
      </c>
      <c r="P10" s="335">
        <f>Assumptions!E52</f>
        <v>291</v>
      </c>
      <c r="Q10" s="335">
        <f>Assumptions!F52</f>
        <v>333</v>
      </c>
      <c r="R10" s="335">
        <f>Assumptions!G52</f>
        <v>367</v>
      </c>
    </row>
    <row r="11" spans="1:18" ht="15.75" customHeight="1">
      <c r="A11" s="418" t="s">
        <v>530</v>
      </c>
      <c r="B11" s="254">
        <f>Assumptions!$C53*(0.7/12+0.3*'Revenue Build'!B10/'Revenue Build'!$N10)</f>
        <v>6.2293305280942306</v>
      </c>
      <c r="C11" s="254">
        <f>Assumptions!$C53*(0.7/12+0.3*'Revenue Build'!C10/'Revenue Build'!$N10)</f>
        <v>6.2519525500181299</v>
      </c>
      <c r="D11" s="254">
        <f>Assumptions!$C53*(0.7/12+0.3*'Revenue Build'!D10/'Revenue Build'!$N10)</f>
        <v>6.4790707645471972</v>
      </c>
      <c r="E11" s="254">
        <f>Assumptions!$C53*(0.7/12+0.3*'Revenue Build'!E10/'Revenue Build'!$N10)</f>
        <v>6.7185586490223494</v>
      </c>
      <c r="F11" s="254">
        <f>Assumptions!$C53*(0.7/12+0.3*'Revenue Build'!F10/'Revenue Build'!$N10)</f>
        <v>6.9580465334975026</v>
      </c>
      <c r="G11" s="254">
        <f>Assumptions!$C53*(0.7/12+0.3*'Revenue Build'!G10/'Revenue Build'!$N10)</f>
        <v>7.1036996481496972</v>
      </c>
      <c r="H11" s="254">
        <f>Assumptions!$C53*(0.7/12+0.3*'Revenue Build'!H10/'Revenue Build'!$N10)</f>
        <v>7.2076906586334815</v>
      </c>
      <c r="I11" s="254">
        <f>Assumptions!$C53*(0.7/12+0.3*'Revenue Build'!I10/'Revenue Build'!$N10)</f>
        <v>7.1711066747954835</v>
      </c>
      <c r="J11" s="254">
        <f>Assumptions!$C53*(0.7/12+0.3*'Revenue Build'!J10/'Revenue Build'!$N10)</f>
        <v>6.9064577082312244</v>
      </c>
      <c r="K11" s="254">
        <f>Assumptions!$C53*(0.7/12+0.3*'Revenue Build'!K10/'Revenue Build'!$N10)</f>
        <v>6.5655178734374928</v>
      </c>
      <c r="L11" s="254">
        <f>Assumptions!$C53*(0.7/12+0.3*'Revenue Build'!L10/'Revenue Build'!$N10)</f>
        <v>6.2266953566120353</v>
      </c>
      <c r="M11" s="254">
        <f>Assumptions!$C53*(0.7/12+0.3*'Revenue Build'!M10/'Revenue Build'!$N10)</f>
        <v>6.1818730549611693</v>
      </c>
      <c r="N11" s="449">
        <f>SUM(B11:M11)</f>
        <v>80</v>
      </c>
      <c r="O11" s="254">
        <f>Assumptions!D53</f>
        <v>84</v>
      </c>
      <c r="P11" s="254">
        <f>Assumptions!E53</f>
        <v>88</v>
      </c>
      <c r="Q11" s="254">
        <f>Assumptions!F53</f>
        <v>92</v>
      </c>
      <c r="R11" s="254">
        <f>Assumptions!G53</f>
        <v>97</v>
      </c>
    </row>
    <row r="12" spans="1:18" ht="15.75" customHeight="1">
      <c r="A12" s="39" t="s">
        <v>531</v>
      </c>
      <c r="B12" s="254">
        <f>Assumptions!$C54*(0.7/12+0.3*'Revenue Build'!B10/'Revenue Build'!$N10)</f>
        <v>6.2293305280942306</v>
      </c>
      <c r="C12" s="254">
        <f>Assumptions!$C54*(0.7/12+0.3*'Revenue Build'!C10/'Revenue Build'!$N10)</f>
        <v>6.2519525500181299</v>
      </c>
      <c r="D12" s="254">
        <f>Assumptions!$C54*(0.7/12+0.3*'Revenue Build'!D10/'Revenue Build'!$N10)</f>
        <v>6.4790707645471972</v>
      </c>
      <c r="E12" s="254">
        <f>Assumptions!$C54*(0.7/12+0.3*'Revenue Build'!E10/'Revenue Build'!$N10)</f>
        <v>6.7185586490223494</v>
      </c>
      <c r="F12" s="254">
        <f>Assumptions!$C54*(0.7/12+0.3*'Revenue Build'!F10/'Revenue Build'!$N10)</f>
        <v>6.9580465334975026</v>
      </c>
      <c r="G12" s="254">
        <f>Assumptions!$C54*(0.7/12+0.3*'Revenue Build'!G10/'Revenue Build'!$N10)</f>
        <v>7.1036996481496972</v>
      </c>
      <c r="H12" s="254">
        <f>Assumptions!$C54*(0.7/12+0.3*'Revenue Build'!H10/'Revenue Build'!$N10)</f>
        <v>7.2076906586334815</v>
      </c>
      <c r="I12" s="254">
        <f>Assumptions!$C54*(0.7/12+0.3*'Revenue Build'!I10/'Revenue Build'!$N10)</f>
        <v>7.1711066747954835</v>
      </c>
      <c r="J12" s="254">
        <f>Assumptions!$C54*(0.7/12+0.3*'Revenue Build'!J10/'Revenue Build'!$N10)</f>
        <v>6.9064577082312244</v>
      </c>
      <c r="K12" s="254">
        <f>Assumptions!$C54*(0.7/12+0.3*'Revenue Build'!K10/'Revenue Build'!$N10)</f>
        <v>6.5655178734374928</v>
      </c>
      <c r="L12" s="254">
        <f>Assumptions!$C54*(0.7/12+0.3*'Revenue Build'!L10/'Revenue Build'!$N10)</f>
        <v>6.2266953566120353</v>
      </c>
      <c r="M12" s="254">
        <f>Assumptions!$C54*(0.7/12+0.3*'Revenue Build'!M10/'Revenue Build'!$N10)</f>
        <v>6.1818730549611693</v>
      </c>
      <c r="N12" s="449">
        <f>SUM(B12:M12)</f>
        <v>80</v>
      </c>
      <c r="O12" s="254">
        <f>Assumptions!D54</f>
        <v>80</v>
      </c>
      <c r="P12" s="254">
        <f>Assumptions!E54</f>
        <v>100</v>
      </c>
      <c r="Q12" s="254">
        <f>Assumptions!F54</f>
        <v>120</v>
      </c>
      <c r="R12" s="254">
        <f>Assumptions!G54</f>
        <v>150</v>
      </c>
    </row>
    <row r="13" spans="1:18" ht="15.75" customHeight="1">
      <c r="A13" s="39" t="s">
        <v>532</v>
      </c>
      <c r="B13" s="254">
        <f>Assumptions!$C55*(0.7/12+0.3*'Revenue Build'!B10/'Revenue Build'!$N10)</f>
        <v>3.8933315800588937</v>
      </c>
      <c r="C13" s="254">
        <f>Assumptions!$C55*(0.7/12+0.3*'Revenue Build'!C10/'Revenue Build'!$N10)</f>
        <v>3.907470343761331</v>
      </c>
      <c r="D13" s="254">
        <f>Assumptions!$C55*(0.7/12+0.3*'Revenue Build'!D10/'Revenue Build'!$N10)</f>
        <v>4.049419227841998</v>
      </c>
      <c r="E13" s="254">
        <f>Assumptions!$C55*(0.7/12+0.3*'Revenue Build'!E10/'Revenue Build'!$N10)</f>
        <v>4.1990991556389679</v>
      </c>
      <c r="F13" s="254">
        <f>Assumptions!$C55*(0.7/12+0.3*'Revenue Build'!F10/'Revenue Build'!$N10)</f>
        <v>4.3487790834359394</v>
      </c>
      <c r="G13" s="254">
        <f>Assumptions!$C55*(0.7/12+0.3*'Revenue Build'!G10/'Revenue Build'!$N10)</f>
        <v>4.4398122800935607</v>
      </c>
      <c r="H13" s="254">
        <f>Assumptions!$C55*(0.7/12+0.3*'Revenue Build'!H10/'Revenue Build'!$N10)</f>
        <v>4.5048066616459259</v>
      </c>
      <c r="I13" s="254">
        <f>Assumptions!$C55*(0.7/12+0.3*'Revenue Build'!I10/'Revenue Build'!$N10)</f>
        <v>4.4819416717471769</v>
      </c>
      <c r="J13" s="254">
        <f>Assumptions!$C55*(0.7/12+0.3*'Revenue Build'!J10/'Revenue Build'!$N10)</f>
        <v>4.316536067644515</v>
      </c>
      <c r="K13" s="254">
        <f>Assumptions!$C55*(0.7/12+0.3*'Revenue Build'!K10/'Revenue Build'!$N10)</f>
        <v>4.103448670898433</v>
      </c>
      <c r="L13" s="254">
        <f>Assumptions!$C55*(0.7/12+0.3*'Revenue Build'!L10/'Revenue Build'!$N10)</f>
        <v>3.8916845978825219</v>
      </c>
      <c r="M13" s="254">
        <f>Assumptions!$C55*(0.7/12+0.3*'Revenue Build'!M10/'Revenue Build'!$N10)</f>
        <v>3.8636706593507304</v>
      </c>
      <c r="N13" s="449">
        <f>SUM(B13:M13)</f>
        <v>49.999999999999993</v>
      </c>
      <c r="O13" s="254">
        <f>Assumptions!D55</f>
        <v>35</v>
      </c>
      <c r="P13" s="254">
        <f>Assumptions!E55</f>
        <v>35</v>
      </c>
      <c r="Q13" s="254">
        <f>Assumptions!F55</f>
        <v>40</v>
      </c>
      <c r="R13" s="254">
        <f>Assumptions!G55</f>
        <v>40</v>
      </c>
    </row>
    <row r="14" spans="1:18" ht="15.75" customHeight="1">
      <c r="A14" s="39" t="s">
        <v>533</v>
      </c>
      <c r="B14" s="332">
        <f>Assumptions!C56/12</f>
        <v>38.833333333333336</v>
      </c>
      <c r="C14" s="332">
        <f>Assumptions!C56/12</f>
        <v>38.833333333333336</v>
      </c>
      <c r="D14" s="332">
        <f>Assumptions!C56/12</f>
        <v>38.833333333333336</v>
      </c>
      <c r="E14" s="332">
        <f>Assumptions!C56/12</f>
        <v>38.833333333333336</v>
      </c>
      <c r="F14" s="332">
        <f>Assumptions!C56/12</f>
        <v>38.833333333333336</v>
      </c>
      <c r="G14" s="332">
        <f>Assumptions!C56/12</f>
        <v>38.833333333333336</v>
      </c>
      <c r="H14" s="332">
        <f>Assumptions!C56/12</f>
        <v>38.833333333333336</v>
      </c>
      <c r="I14" s="332">
        <f>Assumptions!C56/12</f>
        <v>38.833333333333336</v>
      </c>
      <c r="J14" s="332">
        <f>Assumptions!C56/12</f>
        <v>38.833333333333336</v>
      </c>
      <c r="K14" s="332">
        <f>Assumptions!C56/12</f>
        <v>38.833333333333336</v>
      </c>
      <c r="L14" s="332">
        <f>Assumptions!C56/12</f>
        <v>38.833333333333336</v>
      </c>
      <c r="M14" s="332">
        <f>Assumptions!C56/12</f>
        <v>38.833333333333336</v>
      </c>
      <c r="N14" s="453">
        <f>SUM(B14:M14)+80</f>
        <v>546</v>
      </c>
      <c r="O14" s="332">
        <f>Assumptions!D56+80</f>
        <v>714</v>
      </c>
      <c r="P14" s="332">
        <f>Assumptions!E56+80</f>
        <v>914</v>
      </c>
      <c r="Q14" s="332">
        <f>Assumptions!F56+80</f>
        <v>1144</v>
      </c>
      <c r="R14" s="332">
        <f>Assumptions!G56+80</f>
        <v>1372</v>
      </c>
    </row>
    <row r="15" spans="1:18" ht="15.75" customHeight="1">
      <c r="A15" s="39"/>
      <c r="B15" s="254"/>
      <c r="C15" s="254"/>
      <c r="D15" s="254"/>
      <c r="E15" s="254"/>
      <c r="F15" s="254"/>
      <c r="G15" s="254"/>
      <c r="H15" s="254"/>
      <c r="I15" s="254"/>
      <c r="J15" s="254"/>
      <c r="K15" s="254"/>
      <c r="L15" s="254"/>
      <c r="M15" s="254"/>
      <c r="N15" s="449"/>
      <c r="O15" s="254"/>
      <c r="P15" s="254"/>
      <c r="Q15" s="254"/>
      <c r="R15" s="254"/>
    </row>
    <row r="16" spans="1:18" ht="16.5" customHeight="1">
      <c r="A16" s="39" t="s">
        <v>203</v>
      </c>
      <c r="B16" s="333">
        <f t="shared" ref="B16:R16" si="2">SUM(B9:B14)</f>
        <v>120.12609672496305</v>
      </c>
      <c r="C16" s="333">
        <f t="shared" si="2"/>
        <v>120.42131411106993</v>
      </c>
      <c r="D16" s="333">
        <f t="shared" si="2"/>
        <v>123.38520681067425</v>
      </c>
      <c r="E16" s="333">
        <f t="shared" si="2"/>
        <v>126.51052370307499</v>
      </c>
      <c r="F16" s="333">
        <f t="shared" si="2"/>
        <v>129.63584059547577</v>
      </c>
      <c r="G16" s="333">
        <f t="shared" si="2"/>
        <v>131.53661374168689</v>
      </c>
      <c r="H16" s="333">
        <f t="shared" si="2"/>
        <v>132.89369642850028</v>
      </c>
      <c r="I16" s="333">
        <f t="shared" si="2"/>
        <v>132.41627543941439</v>
      </c>
      <c r="J16" s="333">
        <f t="shared" si="2"/>
        <v>128.96260642575083</v>
      </c>
      <c r="K16" s="333">
        <f t="shared" si="2"/>
        <v>124.51334158169263</v>
      </c>
      <c r="L16" s="333">
        <f t="shared" si="2"/>
        <v>120.0917077371204</v>
      </c>
      <c r="M16" s="333">
        <f t="shared" si="2"/>
        <v>119.50677670057661</v>
      </c>
      <c r="N16" s="441">
        <f t="shared" si="2"/>
        <v>1589.9999999999998</v>
      </c>
      <c r="O16" s="333">
        <f t="shared" si="2"/>
        <v>1821</v>
      </c>
      <c r="P16" s="333">
        <f t="shared" si="2"/>
        <v>2116</v>
      </c>
      <c r="Q16" s="333">
        <f t="shared" si="2"/>
        <v>2452</v>
      </c>
      <c r="R16" s="333">
        <f t="shared" si="2"/>
        <v>2785</v>
      </c>
    </row>
    <row r="17" spans="1:18" ht="15.75" customHeight="1">
      <c r="A17" s="256" t="s">
        <v>204</v>
      </c>
      <c r="B17" s="250">
        <f t="shared" ref="B17:R17" si="3">B16/B3</f>
        <v>0.22054718468689113</v>
      </c>
      <c r="C17" s="250">
        <f t="shared" si="3"/>
        <v>0.21793425144703349</v>
      </c>
      <c r="D17" s="250">
        <f t="shared" si="3"/>
        <v>0.19531598096418237</v>
      </c>
      <c r="E17" s="250">
        <f t="shared" si="3"/>
        <v>0.17688942911843686</v>
      </c>
      <c r="F17" s="250">
        <f t="shared" si="3"/>
        <v>0.16231464884805458</v>
      </c>
      <c r="G17" s="250">
        <f t="shared" si="3"/>
        <v>0.15485134140653808</v>
      </c>
      <c r="H17" s="250">
        <f t="shared" si="3"/>
        <v>0.15004631607361346</v>
      </c>
      <c r="I17" s="250">
        <f t="shared" si="3"/>
        <v>0.15169122422845097</v>
      </c>
      <c r="J17" s="250">
        <f t="shared" si="3"/>
        <v>0.1651908622014425</v>
      </c>
      <c r="K17" s="250">
        <f t="shared" si="3"/>
        <v>0.18812853555995124</v>
      </c>
      <c r="L17" s="250">
        <f t="shared" si="3"/>
        <v>0.22085648530195226</v>
      </c>
      <c r="M17" s="250">
        <f t="shared" si="3"/>
        <v>0.22628223595937114</v>
      </c>
      <c r="N17" s="450">
        <f t="shared" si="3"/>
        <v>0.19007088807335057</v>
      </c>
      <c r="O17" s="250">
        <f t="shared" si="3"/>
        <v>0.18066408187723967</v>
      </c>
      <c r="P17" s="250">
        <f t="shared" si="3"/>
        <v>0.17443128805338903</v>
      </c>
      <c r="Q17" s="250">
        <f t="shared" si="3"/>
        <v>0.16950805525948887</v>
      </c>
      <c r="R17" s="250">
        <f t="shared" si="3"/>
        <v>0.16687665744230648</v>
      </c>
    </row>
    <row r="18" spans="1:18" ht="15.75" customHeight="1">
      <c r="A18" s="39"/>
      <c r="B18" s="247"/>
      <c r="C18" s="247"/>
      <c r="D18" s="247"/>
      <c r="E18" s="247"/>
      <c r="F18" s="247"/>
      <c r="G18" s="247"/>
      <c r="H18" s="247"/>
      <c r="I18" s="247"/>
      <c r="J18" s="247"/>
      <c r="K18" s="247"/>
      <c r="L18" s="247"/>
      <c r="M18" s="247"/>
      <c r="N18" s="451"/>
      <c r="O18" s="247"/>
      <c r="P18" s="247"/>
      <c r="Q18" s="247"/>
      <c r="R18" s="247"/>
    </row>
    <row r="19" spans="1:18" ht="16.5" customHeight="1">
      <c r="A19" s="38" t="s">
        <v>534</v>
      </c>
      <c r="B19" s="333">
        <f t="shared" ref="B19:R19" si="4">B5-B16</f>
        <v>20.895853275037013</v>
      </c>
      <c r="C19" s="333">
        <f t="shared" si="4"/>
        <v>23.814185888930069</v>
      </c>
      <c r="D19" s="333">
        <f t="shared" si="4"/>
        <v>43.080363189325709</v>
      </c>
      <c r="E19" s="333">
        <f t="shared" si="4"/>
        <v>64.646321296924867</v>
      </c>
      <c r="F19" s="333">
        <f t="shared" si="4"/>
        <v>84.700159404524243</v>
      </c>
      <c r="G19" s="333">
        <f t="shared" si="4"/>
        <v>95.094466258312991</v>
      </c>
      <c r="H19" s="333">
        <f t="shared" si="4"/>
        <v>103.73784857149957</v>
      </c>
      <c r="I19" s="333">
        <f t="shared" si="4"/>
        <v>98.655954560585712</v>
      </c>
      <c r="J19" s="333">
        <f t="shared" si="4"/>
        <v>73.973008574249036</v>
      </c>
      <c r="K19" s="333">
        <f t="shared" si="4"/>
        <v>45.540733418307269</v>
      </c>
      <c r="L19" s="333">
        <f t="shared" si="4"/>
        <v>17.846462262879612</v>
      </c>
      <c r="M19" s="333">
        <f t="shared" si="4"/>
        <v>14.49944829942325</v>
      </c>
      <c r="N19" s="441">
        <f t="shared" si="4"/>
        <v>606.48480500000119</v>
      </c>
      <c r="O19" s="333">
        <f t="shared" si="4"/>
        <v>1086.6760000000022</v>
      </c>
      <c r="P19" s="333">
        <f t="shared" si="4"/>
        <v>1651.3756799999992</v>
      </c>
      <c r="Q19" s="333">
        <f t="shared" si="4"/>
        <v>2298.6023872000005</v>
      </c>
      <c r="R19" s="333">
        <f t="shared" si="4"/>
        <v>2964.0739226879996</v>
      </c>
    </row>
    <row r="20" spans="1:18" ht="15.75" customHeight="1">
      <c r="A20" s="257" t="s">
        <v>535</v>
      </c>
      <c r="B20" s="258">
        <f t="shared" ref="B20:R20" si="5">B19/B3</f>
        <v>3.8364033603716381E-2</v>
      </c>
      <c r="C20" s="258">
        <f t="shared" si="5"/>
        <v>4.309807457123066E-2</v>
      </c>
      <c r="D20" s="258">
        <f t="shared" si="5"/>
        <v>6.8195236804421105E-2</v>
      </c>
      <c r="E20" s="258">
        <f t="shared" si="5"/>
        <v>9.0389720428784681E-2</v>
      </c>
      <c r="F20" s="258">
        <f t="shared" si="5"/>
        <v>0.10605150989084883</v>
      </c>
      <c r="G20" s="258">
        <f t="shared" si="5"/>
        <v>0.11194986127099682</v>
      </c>
      <c r="H20" s="258">
        <f t="shared" si="5"/>
        <v>0.1171273162977331</v>
      </c>
      <c r="I20" s="258">
        <f t="shared" si="5"/>
        <v>0.11301663994898316</v>
      </c>
      <c r="J20" s="258">
        <f t="shared" si="5"/>
        <v>9.4753552248110537E-2</v>
      </c>
      <c r="K20" s="258">
        <f t="shared" si="5"/>
        <v>6.8807979751239548E-2</v>
      </c>
      <c r="L20" s="258">
        <f t="shared" si="5"/>
        <v>3.2820808403203304E-2</v>
      </c>
      <c r="M20" s="258">
        <f t="shared" si="5"/>
        <v>2.7454238763306583E-2</v>
      </c>
      <c r="N20" s="445">
        <f t="shared" si="5"/>
        <v>7.2500066345498798E-2</v>
      </c>
      <c r="O20" s="258">
        <f t="shared" si="5"/>
        <v>0.10781072039430625</v>
      </c>
      <c r="P20" s="258">
        <f t="shared" si="5"/>
        <v>0.13613023956637102</v>
      </c>
      <c r="Q20" s="258">
        <f t="shared" si="5"/>
        <v>0.15890359725493095</v>
      </c>
      <c r="R20" s="258">
        <f t="shared" si="5"/>
        <v>0.17760673200361901</v>
      </c>
    </row>
    <row r="21" spans="1:18" ht="15.75" customHeight="1">
      <c r="A21" s="39"/>
      <c r="B21" s="247"/>
      <c r="C21" s="247"/>
      <c r="D21" s="247"/>
      <c r="E21" s="247"/>
      <c r="F21" s="247"/>
      <c r="G21" s="247"/>
      <c r="H21" s="247"/>
      <c r="I21" s="247"/>
      <c r="J21" s="247"/>
      <c r="K21" s="247"/>
      <c r="L21" s="247"/>
      <c r="M21" s="247"/>
      <c r="N21" s="438"/>
      <c r="O21" s="247"/>
      <c r="P21" s="247"/>
      <c r="Q21" s="247"/>
      <c r="R21" s="247"/>
    </row>
    <row r="22" spans="1:18" ht="15.75" customHeight="1">
      <c r="A22" s="39" t="s">
        <v>536</v>
      </c>
      <c r="B22" s="332">
        <f>'Debt Schedule'!B69</f>
        <v>18.458333333333332</v>
      </c>
      <c r="C22" s="332">
        <f>'Debt Schedule'!C69</f>
        <v>18.157065972222224</v>
      </c>
      <c r="D22" s="332">
        <f>'Debt Schedule'!D69</f>
        <v>17.853865287905091</v>
      </c>
      <c r="E22" s="332">
        <f>'Debt Schedule'!E69</f>
        <v>17.548718725619093</v>
      </c>
      <c r="F22" s="332">
        <f>'Debt Schedule'!F69</f>
        <v>21.61661364817428</v>
      </c>
      <c r="G22" s="332">
        <f>'Debt Schedule'!G69</f>
        <v>21.246141502073694</v>
      </c>
      <c r="H22" s="332">
        <f>'Debt Schedule'!H69</f>
        <v>20.873327174602046</v>
      </c>
      <c r="I22" s="332">
        <f>'Debt Schedule'!I69</f>
        <v>20.498155688830224</v>
      </c>
      <c r="J22" s="332">
        <f>'Debt Schedule'!J69</f>
        <v>20.12061197100688</v>
      </c>
      <c r="K22" s="332">
        <f>'Debt Schedule'!K69</f>
        <v>30.157347516592672</v>
      </c>
      <c r="L22" s="332">
        <f>'Debt Schedule'!L69</f>
        <v>29.631444278512529</v>
      </c>
      <c r="M22" s="332">
        <f>'Debt Schedule'!M69</f>
        <v>29.102236136422221</v>
      </c>
      <c r="N22" s="453">
        <f>'Debt Schedule'!N69</f>
        <v>265.26386123529426</v>
      </c>
      <c r="O22" s="332">
        <f>'Debt Schedule'!O69</f>
        <v>326.63642495079301</v>
      </c>
      <c r="P22" s="332">
        <f>'Debt Schedule'!P69</f>
        <v>233.26954388397419</v>
      </c>
      <c r="Q22" s="332">
        <f>'Debt Schedule'!Q69</f>
        <v>168.83260717016512</v>
      </c>
      <c r="R22" s="332">
        <f>'Debt Schedule'!R69</f>
        <v>107.5620662635294</v>
      </c>
    </row>
    <row r="23" spans="1:18" ht="15.75" customHeight="1">
      <c r="A23" s="39" t="s">
        <v>537</v>
      </c>
      <c r="B23" s="259">
        <v>0</v>
      </c>
      <c r="C23" s="259">
        <v>0</v>
      </c>
      <c r="D23" s="259">
        <v>0</v>
      </c>
      <c r="E23" s="259">
        <v>0</v>
      </c>
      <c r="F23" s="259">
        <v>0</v>
      </c>
      <c r="G23" s="259">
        <v>0</v>
      </c>
      <c r="H23" s="259">
        <v>0</v>
      </c>
      <c r="I23" s="259">
        <v>0</v>
      </c>
      <c r="J23" s="259">
        <v>0</v>
      </c>
      <c r="K23" s="259">
        <v>0</v>
      </c>
      <c r="L23" s="259">
        <v>0</v>
      </c>
      <c r="M23" s="259">
        <v>0</v>
      </c>
      <c r="N23" s="454">
        <f>SUM(B23:M23)</f>
        <v>0</v>
      </c>
      <c r="O23" s="259">
        <v>0</v>
      </c>
      <c r="P23" s="259">
        <v>0</v>
      </c>
      <c r="Q23" s="259">
        <v>0</v>
      </c>
      <c r="R23" s="259">
        <v>0</v>
      </c>
    </row>
    <row r="24" spans="1:18" ht="15.75" customHeight="1">
      <c r="A24" s="38" t="s">
        <v>538</v>
      </c>
      <c r="B24" s="336">
        <f t="shared" ref="B24:R24" si="6">B19-B22+B23</f>
        <v>2.4375199417036804</v>
      </c>
      <c r="C24" s="336">
        <f t="shared" si="6"/>
        <v>5.6571199167078454</v>
      </c>
      <c r="D24" s="336">
        <f t="shared" si="6"/>
        <v>25.226497901420618</v>
      </c>
      <c r="E24" s="336">
        <f t="shared" si="6"/>
        <v>47.097602571305771</v>
      </c>
      <c r="F24" s="336">
        <f t="shared" si="6"/>
        <v>63.083545756349963</v>
      </c>
      <c r="G24" s="336">
        <f t="shared" si="6"/>
        <v>73.848324756239293</v>
      </c>
      <c r="H24" s="336">
        <f t="shared" si="6"/>
        <v>82.864521396897516</v>
      </c>
      <c r="I24" s="336">
        <f t="shared" si="6"/>
        <v>78.157798871755489</v>
      </c>
      <c r="J24" s="336">
        <f t="shared" si="6"/>
        <v>53.852396603242155</v>
      </c>
      <c r="K24" s="336">
        <f t="shared" si="6"/>
        <v>15.383385901714597</v>
      </c>
      <c r="L24" s="336">
        <f t="shared" si="6"/>
        <v>-11.784982015632917</v>
      </c>
      <c r="M24" s="336">
        <f t="shared" si="6"/>
        <v>-14.602787836998971</v>
      </c>
      <c r="N24" s="455">
        <f t="shared" si="6"/>
        <v>341.22094376470693</v>
      </c>
      <c r="O24" s="336">
        <f t="shared" si="6"/>
        <v>760.03957504920913</v>
      </c>
      <c r="P24" s="336">
        <f t="shared" si="6"/>
        <v>1418.106136116025</v>
      </c>
      <c r="Q24" s="336">
        <f t="shared" si="6"/>
        <v>2129.7697800298356</v>
      </c>
      <c r="R24" s="336">
        <f t="shared" si="6"/>
        <v>2856.5118564244704</v>
      </c>
    </row>
    <row r="25" spans="1:18" ht="15.75" customHeight="1">
      <c r="A25" s="39" t="s">
        <v>539</v>
      </c>
      <c r="B25" s="337">
        <f>IF(B24&gt;0,B24*Assumptions!$B$13,0)</f>
        <v>0.75563118192814094</v>
      </c>
      <c r="C25" s="337">
        <f>IF(C24&gt;0,C24*Assumptions!$B$13,0)</f>
        <v>1.7537071741794321</v>
      </c>
      <c r="D25" s="337">
        <f>IF(D24&gt;0,D24*Assumptions!$B$13,0)</f>
        <v>7.8202143494403913</v>
      </c>
      <c r="E25" s="337">
        <f>IF(E24&gt;0,E24*Assumptions!$B$13,0)</f>
        <v>14.600256797104789</v>
      </c>
      <c r="F25" s="337">
        <f>IF(F24&gt;0,F24*Assumptions!$B$13,0)</f>
        <v>19.555899184468487</v>
      </c>
      <c r="G25" s="337">
        <f>IF(G24&gt;0,G24*Assumptions!$B$13,0)</f>
        <v>22.892980674434181</v>
      </c>
      <c r="H25" s="337">
        <f>IF(H24&gt;0,H24*Assumptions!$B$13,0)</f>
        <v>25.68800163303823</v>
      </c>
      <c r="I25" s="337">
        <f>IF(I24&gt;0,I24*Assumptions!$B$13,0)</f>
        <v>24.228917650244203</v>
      </c>
      <c r="J25" s="337">
        <f>IF(J24&gt;0,J24*Assumptions!$B$13,0)</f>
        <v>16.694242947005069</v>
      </c>
      <c r="K25" s="337">
        <f>IF(K24&gt;0,K24*Assumptions!$B$13,0)</f>
        <v>4.768849629531525</v>
      </c>
      <c r="L25" s="337">
        <f>IF(L24&gt;0,L24*Assumptions!$B$13,0)</f>
        <v>0</v>
      </c>
      <c r="M25" s="337">
        <f>IF(M24&gt;0,M24*Assumptions!$B$13,0)</f>
        <v>0</v>
      </c>
      <c r="N25" s="456">
        <f>IF(N24&gt;0,N24*Assumptions!$B$13,0)</f>
        <v>105.77849256705915</v>
      </c>
      <c r="O25" s="337">
        <f>IF(O24&gt;0,O24*Assumptions!$B$13,0)</f>
        <v>235.61226826525484</v>
      </c>
      <c r="P25" s="337">
        <f>IF(P24&gt;0,P24*Assumptions!$B$13,0)</f>
        <v>439.61290219596776</v>
      </c>
      <c r="Q25" s="337">
        <f>IF(Q24&gt;0,Q24*Assumptions!$B$13,0)</f>
        <v>660.22863180924901</v>
      </c>
      <c r="R25" s="337">
        <f>IF(R24&gt;0,R24*Assumptions!$B$13,0)</f>
        <v>885.51867549158578</v>
      </c>
    </row>
    <row r="26" spans="1:18" ht="15.75" customHeight="1">
      <c r="A26" s="39"/>
      <c r="B26" s="259"/>
      <c r="C26" s="259"/>
      <c r="D26" s="259"/>
      <c r="E26" s="259"/>
      <c r="F26" s="259"/>
      <c r="G26" s="259"/>
      <c r="H26" s="259"/>
      <c r="I26" s="259"/>
      <c r="J26" s="259"/>
      <c r="K26" s="259"/>
      <c r="L26" s="259"/>
      <c r="M26" s="259"/>
      <c r="N26" s="454"/>
      <c r="O26" s="259"/>
      <c r="P26" s="259"/>
      <c r="Q26" s="259"/>
      <c r="R26" s="259"/>
    </row>
    <row r="27" spans="1:18" ht="16.5" customHeight="1">
      <c r="A27" s="38" t="s">
        <v>540</v>
      </c>
      <c r="B27" s="333">
        <f t="shared" ref="B27:R27" si="7">B24-B25</f>
        <v>1.6818887597755394</v>
      </c>
      <c r="C27" s="333">
        <f t="shared" si="7"/>
        <v>3.9034127425284133</v>
      </c>
      <c r="D27" s="333">
        <f t="shared" si="7"/>
        <v>17.406283551980227</v>
      </c>
      <c r="E27" s="333">
        <f t="shared" si="7"/>
        <v>32.49734577420098</v>
      </c>
      <c r="F27" s="333">
        <f t="shared" si="7"/>
        <v>43.527646571881476</v>
      </c>
      <c r="G27" s="333">
        <f t="shared" si="7"/>
        <v>50.955344081805109</v>
      </c>
      <c r="H27" s="333">
        <f t="shared" si="7"/>
        <v>57.176519763859289</v>
      </c>
      <c r="I27" s="333">
        <f t="shared" si="7"/>
        <v>53.92888122151129</v>
      </c>
      <c r="J27" s="333">
        <f t="shared" si="7"/>
        <v>37.15815365623709</v>
      </c>
      <c r="K27" s="333">
        <f t="shared" si="7"/>
        <v>10.614536272183072</v>
      </c>
      <c r="L27" s="333">
        <f t="shared" si="7"/>
        <v>-11.784982015632917</v>
      </c>
      <c r="M27" s="333">
        <f t="shared" si="7"/>
        <v>-14.602787836998971</v>
      </c>
      <c r="N27" s="441">
        <f t="shared" si="7"/>
        <v>235.44245119764778</v>
      </c>
      <c r="O27" s="333">
        <f t="shared" si="7"/>
        <v>524.42730678395424</v>
      </c>
      <c r="P27" s="333">
        <f t="shared" si="7"/>
        <v>978.49323392005726</v>
      </c>
      <c r="Q27" s="333">
        <f t="shared" si="7"/>
        <v>1469.5411482205866</v>
      </c>
      <c r="R27" s="333">
        <f t="shared" si="7"/>
        <v>1970.9931809328846</v>
      </c>
    </row>
    <row r="28" spans="1:18" ht="15.75" customHeight="1">
      <c r="A28" s="249" t="s">
        <v>541</v>
      </c>
      <c r="B28" s="250">
        <f t="shared" ref="B28:R28" si="8">B27/B3</f>
        <v>3.0878871538988334E-3</v>
      </c>
      <c r="C28" s="250">
        <f t="shared" si="8"/>
        <v>7.0642588516108959E-3</v>
      </c>
      <c r="D28" s="250">
        <f t="shared" si="8"/>
        <v>2.7553751659324648E-2</v>
      </c>
      <c r="E28" s="250">
        <f t="shared" si="8"/>
        <v>4.5438409182106128E-2</v>
      </c>
      <c r="F28" s="250">
        <f t="shared" si="8"/>
        <v>5.4500164738729977E-2</v>
      </c>
      <c r="G28" s="250">
        <f t="shared" si="8"/>
        <v>5.9987125701705259E-2</v>
      </c>
      <c r="H28" s="250">
        <f t="shared" si="8"/>
        <v>6.4556306183363596E-2</v>
      </c>
      <c r="I28" s="250">
        <f t="shared" si="8"/>
        <v>6.1778946633374257E-2</v>
      </c>
      <c r="J28" s="250">
        <f t="shared" si="8"/>
        <v>4.7596645340922908E-2</v>
      </c>
      <c r="K28" s="250">
        <f t="shared" si="8"/>
        <v>1.6037616043126032E-2</v>
      </c>
      <c r="L28" s="250">
        <f t="shared" si="8"/>
        <v>-2.1673350778031109E-2</v>
      </c>
      <c r="M28" s="250">
        <f t="shared" si="8"/>
        <v>-2.7649908852244134E-2</v>
      </c>
      <c r="N28" s="450">
        <f t="shared" si="8"/>
        <v>2.8145129427234857E-2</v>
      </c>
      <c r="O28" s="250">
        <f t="shared" si="8"/>
        <v>5.2029202576318836E-2</v>
      </c>
      <c r="P28" s="250">
        <f t="shared" si="8"/>
        <v>8.0661547799717251E-2</v>
      </c>
      <c r="Q28" s="250">
        <f t="shared" si="8"/>
        <v>0.10159015585590045</v>
      </c>
      <c r="R28" s="250">
        <f t="shared" si="8"/>
        <v>0.118101527423935</v>
      </c>
    </row>
    <row r="29" spans="1:18" ht="15.75" customHeight="1">
      <c r="A29" s="247"/>
      <c r="B29" s="247"/>
      <c r="C29" s="247"/>
      <c r="D29" s="247"/>
      <c r="E29" s="247"/>
      <c r="F29" s="247"/>
      <c r="G29" s="247"/>
      <c r="H29" s="247"/>
      <c r="I29" s="247"/>
      <c r="J29" s="247"/>
      <c r="K29" s="247"/>
      <c r="L29" s="247"/>
      <c r="M29" s="247"/>
      <c r="N29" s="438"/>
      <c r="O29" s="247"/>
      <c r="P29" s="247"/>
      <c r="Q29" s="247"/>
      <c r="R29" s="247"/>
    </row>
    <row r="30" spans="1:18" ht="16.5" customHeight="1">
      <c r="A30" s="38" t="s">
        <v>542</v>
      </c>
      <c r="B30" s="338">
        <f t="shared" ref="B30:R30" si="9">B19+B14</f>
        <v>59.729186608370348</v>
      </c>
      <c r="C30" s="338">
        <f t="shared" si="9"/>
        <v>62.647519222263405</v>
      </c>
      <c r="D30" s="338">
        <f t="shared" si="9"/>
        <v>81.913696522659052</v>
      </c>
      <c r="E30" s="338">
        <f t="shared" si="9"/>
        <v>103.47965463025821</v>
      </c>
      <c r="F30" s="338">
        <f t="shared" si="9"/>
        <v>123.53349273785759</v>
      </c>
      <c r="G30" s="338">
        <f t="shared" si="9"/>
        <v>133.92779959164633</v>
      </c>
      <c r="H30" s="338">
        <f t="shared" si="9"/>
        <v>142.57118190483291</v>
      </c>
      <c r="I30" s="338">
        <f t="shared" si="9"/>
        <v>137.48928789391906</v>
      </c>
      <c r="J30" s="338">
        <f t="shared" si="9"/>
        <v>112.80634190758238</v>
      </c>
      <c r="K30" s="338">
        <f t="shared" si="9"/>
        <v>84.374066751640612</v>
      </c>
      <c r="L30" s="338">
        <f t="shared" si="9"/>
        <v>56.679795596212948</v>
      </c>
      <c r="M30" s="338">
        <f t="shared" si="9"/>
        <v>53.332781632756586</v>
      </c>
      <c r="N30" s="457">
        <f t="shared" si="9"/>
        <v>1152.4848050000012</v>
      </c>
      <c r="O30" s="338">
        <f t="shared" si="9"/>
        <v>1800.6760000000022</v>
      </c>
      <c r="P30" s="338">
        <f t="shared" si="9"/>
        <v>2565.3756799999992</v>
      </c>
      <c r="Q30" s="338">
        <f t="shared" si="9"/>
        <v>3442.6023872000005</v>
      </c>
      <c r="R30" s="338">
        <f t="shared" si="9"/>
        <v>4336.0739226879996</v>
      </c>
    </row>
    <row r="31" spans="1:18" ht="16.5" customHeight="1">
      <c r="A31" s="247"/>
      <c r="B31" s="247"/>
      <c r="C31" s="247"/>
      <c r="D31" s="247"/>
      <c r="E31" s="247"/>
      <c r="F31" s="247"/>
      <c r="G31" s="247"/>
      <c r="H31" s="247"/>
      <c r="I31" s="247"/>
      <c r="J31" s="247"/>
      <c r="K31" s="247"/>
      <c r="L31" s="247"/>
      <c r="M31" s="247"/>
      <c r="N31" s="451"/>
      <c r="O31" s="247"/>
      <c r="P31" s="247"/>
      <c r="Q31" s="247"/>
      <c r="R31" s="247"/>
    </row>
    <row r="32" spans="1:18" ht="15.75" customHeight="1">
      <c r="A32" s="16" t="s">
        <v>543</v>
      </c>
      <c r="B32" s="16"/>
      <c r="C32" s="16"/>
      <c r="D32" s="16"/>
      <c r="E32" s="16"/>
      <c r="F32" s="16"/>
      <c r="G32" s="16"/>
      <c r="H32" s="16"/>
      <c r="I32" s="16"/>
      <c r="J32" s="16"/>
      <c r="K32" s="16"/>
      <c r="L32" s="16"/>
      <c r="M32" s="16"/>
      <c r="N32" s="458"/>
      <c r="O32" s="16"/>
      <c r="P32" s="16"/>
      <c r="Q32" s="16"/>
      <c r="R32" s="16"/>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sheetPr>
  <dimension ref="A1:R51"/>
  <sheetViews>
    <sheetView zoomScaleNormal="100" workbookViewId="0">
      <pane xSplit="1" ySplit="2" topLeftCell="B3" activePane="bottomRight" state="frozen"/>
      <selection pane="topRight"/>
      <selection pane="bottomLeft"/>
      <selection pane="bottomRight" activeCell="V36" sqref="V36"/>
    </sheetView>
  </sheetViews>
  <sheetFormatPr baseColWidth="10" defaultColWidth="11" defaultRowHeight="15.75" customHeight="1"/>
  <cols>
    <col min="1" max="1" width="36.6640625" customWidth="1"/>
    <col min="2" max="2" width="15" customWidth="1"/>
    <col min="3" max="14" width="14" customWidth="1"/>
    <col min="15" max="18" width="16.5" customWidth="1"/>
  </cols>
  <sheetData>
    <row r="1" spans="1:18" ht="16.5" customHeight="1">
      <c r="A1" s="545" t="s">
        <v>0</v>
      </c>
      <c r="B1" s="546"/>
      <c r="C1" s="546"/>
      <c r="D1" s="546"/>
      <c r="E1" s="546"/>
      <c r="F1" s="546"/>
      <c r="G1" s="546"/>
      <c r="H1" s="546"/>
      <c r="I1" s="546"/>
      <c r="J1" s="546"/>
      <c r="K1" s="546"/>
      <c r="L1" s="546"/>
      <c r="M1" s="546"/>
      <c r="N1" s="546"/>
      <c r="O1" s="546"/>
      <c r="P1" s="546"/>
      <c r="Q1" s="546"/>
      <c r="R1" s="546"/>
    </row>
    <row r="2" spans="1:18" ht="15.75" customHeight="1">
      <c r="A2" s="247"/>
      <c r="B2" s="69" t="s">
        <v>1</v>
      </c>
      <c r="C2" s="246">
        <v>46048</v>
      </c>
      <c r="D2" s="246">
        <v>46079</v>
      </c>
      <c r="E2" s="246">
        <v>46107</v>
      </c>
      <c r="F2" s="246">
        <v>46138</v>
      </c>
      <c r="G2" s="246">
        <v>46168</v>
      </c>
      <c r="H2" s="246">
        <v>46199</v>
      </c>
      <c r="I2" s="246">
        <v>46229</v>
      </c>
      <c r="J2" s="246">
        <v>46260</v>
      </c>
      <c r="K2" s="246">
        <v>46291</v>
      </c>
      <c r="L2" s="246">
        <v>46321</v>
      </c>
      <c r="M2" s="246">
        <v>46352</v>
      </c>
      <c r="N2" s="459">
        <v>46382</v>
      </c>
      <c r="O2" s="69" t="s">
        <v>2</v>
      </c>
      <c r="P2" s="69" t="s">
        <v>3</v>
      </c>
      <c r="Q2" s="69" t="s">
        <v>4</v>
      </c>
      <c r="R2" s="69" t="s">
        <v>5</v>
      </c>
    </row>
    <row r="3" spans="1:18" ht="15.75" customHeight="1">
      <c r="A3" s="64" t="s">
        <v>6</v>
      </c>
      <c r="B3" s="253"/>
      <c r="C3" s="253"/>
      <c r="D3" s="253"/>
      <c r="E3" s="253"/>
      <c r="F3" s="253"/>
      <c r="G3" s="253"/>
      <c r="H3" s="253"/>
      <c r="I3" s="253"/>
      <c r="J3" s="253"/>
      <c r="K3" s="253"/>
      <c r="L3" s="253"/>
      <c r="M3" s="253"/>
      <c r="N3" s="452"/>
      <c r="O3" s="253"/>
      <c r="P3" s="253"/>
      <c r="Q3" s="253"/>
      <c r="R3" s="253"/>
    </row>
    <row r="4" spans="1:18" ht="15.75" customHeight="1">
      <c r="A4" s="68" t="s">
        <v>7</v>
      </c>
      <c r="B4" s="68"/>
      <c r="C4" s="68"/>
      <c r="D4" s="68"/>
      <c r="E4" s="68"/>
      <c r="F4" s="68"/>
      <c r="G4" s="68"/>
      <c r="H4" s="68"/>
      <c r="I4" s="68"/>
      <c r="J4" s="68"/>
      <c r="K4" s="68"/>
      <c r="L4" s="68"/>
      <c r="M4" s="68"/>
      <c r="N4" s="460"/>
      <c r="O4" s="68"/>
      <c r="P4" s="68"/>
      <c r="Q4" s="68"/>
      <c r="R4" s="68"/>
    </row>
    <row r="5" spans="1:18" ht="15.75" customHeight="1">
      <c r="A5" s="39" t="s">
        <v>8</v>
      </c>
      <c r="B5" s="255">
        <f>Assumptions!B127</f>
        <v>34</v>
      </c>
      <c r="C5" s="254">
        <f t="shared" ref="C5:M5" si="0">C47-C6-C7-C8-C9-C15-C16-C17-C18-C19-C20-C21-C23</f>
        <v>3225.3221854380618</v>
      </c>
      <c r="D5" s="254">
        <f t="shared" si="0"/>
        <v>3149.3646903393187</v>
      </c>
      <c r="E5" s="254">
        <f t="shared" si="0"/>
        <v>3000.39160699286</v>
      </c>
      <c r="F5" s="254">
        <f t="shared" si="0"/>
        <v>2861.8462437063345</v>
      </c>
      <c r="G5" s="254">
        <f t="shared" si="0"/>
        <v>3458.5063490682546</v>
      </c>
      <c r="H5" s="254">
        <f t="shared" si="0"/>
        <v>3342.5551870181043</v>
      </c>
      <c r="I5" s="254">
        <f t="shared" si="0"/>
        <v>3229.8924805111515</v>
      </c>
      <c r="J5" s="254">
        <f t="shared" si="0"/>
        <v>3138.8992514448901</v>
      </c>
      <c r="K5" s="254">
        <f t="shared" si="0"/>
        <v>1122.4471165764057</v>
      </c>
      <c r="L5" s="254">
        <f t="shared" si="0"/>
        <v>2781.7970254340194</v>
      </c>
      <c r="M5" s="254">
        <f t="shared" si="0"/>
        <v>2762.1768210302312</v>
      </c>
      <c r="N5" s="449">
        <f>'Cash Flow'!N36</f>
        <v>2631.0098113173053</v>
      </c>
      <c r="O5" s="254">
        <f>'Cash Flow'!O36</f>
        <v>1024.4750854414967</v>
      </c>
      <c r="P5" s="254">
        <f>'Cash Flow'!P36</f>
        <v>836.37421924441742</v>
      </c>
      <c r="Q5" s="254">
        <f>'Cash Flow'!Q36</f>
        <v>1216.289271295316</v>
      </c>
      <c r="R5" s="254">
        <f>'Cash Flow'!R36</f>
        <v>2202.2551322077707</v>
      </c>
    </row>
    <row r="6" spans="1:18" ht="15.75" customHeight="1">
      <c r="A6" s="39" t="s">
        <v>9</v>
      </c>
      <c r="B6" s="255">
        <f>Assumptions!B128</f>
        <v>274</v>
      </c>
      <c r="C6" s="254">
        <f>ROUND('Income Statement'!B3/30*Assumptions!$B$68,0)</f>
        <v>654</v>
      </c>
      <c r="D6" s="254">
        <f>ROUND('Income Statement'!C3/30*Assumptions!$B$68,0)</f>
        <v>663</v>
      </c>
      <c r="E6" s="254">
        <f>ROUND('Income Statement'!D3/30*Assumptions!$B$68,0)</f>
        <v>758</v>
      </c>
      <c r="F6" s="254">
        <f>ROUND('Income Statement'!E3/30*Assumptions!$B$68,0)</f>
        <v>858</v>
      </c>
      <c r="G6" s="254">
        <f>ROUND('Income Statement'!F3/30*Assumptions!$B$68,0)</f>
        <v>958</v>
      </c>
      <c r="H6" s="254">
        <f>ROUND('Income Statement'!G3/30*Assumptions!$B$68,0)</f>
        <v>1019</v>
      </c>
      <c r="I6" s="254">
        <f>ROUND('Income Statement'!H3/30*Assumptions!$B$68,0)</f>
        <v>1063</v>
      </c>
      <c r="J6" s="254">
        <f>ROUND('Income Statement'!I3/30*Assumptions!$B$68,0)</f>
        <v>1048</v>
      </c>
      <c r="K6" s="254">
        <f>ROUND('Income Statement'!J3/30*Assumptions!$B$68,0)</f>
        <v>937</v>
      </c>
      <c r="L6" s="254">
        <f>ROUND('Income Statement'!K3/30*Assumptions!$B$68,0)</f>
        <v>794</v>
      </c>
      <c r="M6" s="254">
        <f>ROUND('Income Statement'!L3/30*Assumptions!$B$68,0)</f>
        <v>653</v>
      </c>
      <c r="N6" s="449">
        <f>ROUND('Income Statement'!M3/30*Assumptions!$B$68,0)</f>
        <v>634</v>
      </c>
      <c r="O6" s="254">
        <f>ROUND('Income Statement'!O3*Assumptions!D68/365,0)</f>
        <v>967</v>
      </c>
      <c r="P6" s="254">
        <f>ROUND('Income Statement'!P3*Assumptions!E68/365,0)</f>
        <v>1130</v>
      </c>
      <c r="Q6" s="254">
        <f>ROUND('Income Statement'!Q3*Assumptions!F68/365,0)</f>
        <v>1308</v>
      </c>
      <c r="R6" s="254">
        <f>ROUND('Income Statement'!R3*Assumptions!G68/365,0)</f>
        <v>1509</v>
      </c>
    </row>
    <row r="7" spans="1:18" ht="15.75" customHeight="1">
      <c r="A7" s="39" t="s">
        <v>10</v>
      </c>
      <c r="B7" s="255">
        <f>Assumptions!B129</f>
        <v>5</v>
      </c>
      <c r="C7" s="254">
        <f>ROUND('Revenue Build'!B7*Assumptions!$B$73,0)</f>
        <v>1</v>
      </c>
      <c r="D7" s="254">
        <f>ROUND('Revenue Build'!C7*Assumptions!$B$73,0)</f>
        <v>1</v>
      </c>
      <c r="E7" s="254">
        <f>ROUND('Revenue Build'!D7*Assumptions!$B$73,0)</f>
        <v>1</v>
      </c>
      <c r="F7" s="254">
        <f>ROUND('Revenue Build'!E7*Assumptions!$B$73,0)</f>
        <v>1</v>
      </c>
      <c r="G7" s="254">
        <f>ROUND('Revenue Build'!F7*Assumptions!$B$73,0)</f>
        <v>1</v>
      </c>
      <c r="H7" s="254">
        <f>ROUND('Revenue Build'!G7*Assumptions!$B$73,0)</f>
        <v>1</v>
      </c>
      <c r="I7" s="254">
        <f>ROUND('Revenue Build'!H7*Assumptions!$B$73,0)</f>
        <v>1</v>
      </c>
      <c r="J7" s="254">
        <f>ROUND('Revenue Build'!I7*Assumptions!$B$73,0)</f>
        <v>1</v>
      </c>
      <c r="K7" s="254">
        <f>ROUND('Revenue Build'!J7*Assumptions!$B$73,0)</f>
        <v>1</v>
      </c>
      <c r="L7" s="254">
        <f>ROUND('Revenue Build'!K7*Assumptions!$B$73,0)</f>
        <v>1</v>
      </c>
      <c r="M7" s="254">
        <f>ROUND('Revenue Build'!L7*Assumptions!$B$73,0)</f>
        <v>1</v>
      </c>
      <c r="N7" s="449">
        <f>ROUND('Revenue Build'!M7*Assumptions!$B$73,0)</f>
        <v>1</v>
      </c>
      <c r="O7" s="254">
        <f>ROUND('Revenue Build'!O7*Assumptions!$B$73,0)</f>
        <v>17</v>
      </c>
      <c r="P7" s="254">
        <f>ROUND('Revenue Build'!P7*Assumptions!$B$73,0)</f>
        <v>23</v>
      </c>
      <c r="Q7" s="254">
        <f>ROUND('Revenue Build'!Q7*Assumptions!$B$73,0)</f>
        <v>30</v>
      </c>
      <c r="R7" s="254">
        <f>ROUND('Revenue Build'!R7*Assumptions!$B$73,0)</f>
        <v>38</v>
      </c>
    </row>
    <row r="8" spans="1:18" ht="15.75" customHeight="1">
      <c r="A8" s="39" t="s">
        <v>11</v>
      </c>
      <c r="B8" s="255">
        <f>Assumptions!B130</f>
        <v>30</v>
      </c>
      <c r="C8" s="254">
        <f>ROUND('Income Statement'!B16*Assumptions!$B$74,0)</f>
        <v>4</v>
      </c>
      <c r="D8" s="254">
        <f>ROUND('Income Statement'!C16*Assumptions!$B$74,0)</f>
        <v>4</v>
      </c>
      <c r="E8" s="254">
        <f>ROUND('Income Statement'!D16*Assumptions!$B$74,0)</f>
        <v>4</v>
      </c>
      <c r="F8" s="254">
        <f>ROUND('Income Statement'!E16*Assumptions!$B$74,0)</f>
        <v>4</v>
      </c>
      <c r="G8" s="254">
        <f>ROUND('Income Statement'!F16*Assumptions!$B$74,0)</f>
        <v>4</v>
      </c>
      <c r="H8" s="254">
        <f>ROUND('Income Statement'!G16*Assumptions!$B$74,0)</f>
        <v>4</v>
      </c>
      <c r="I8" s="254">
        <f>ROUND('Income Statement'!H16*Assumptions!$B$74,0)</f>
        <v>4</v>
      </c>
      <c r="J8" s="254">
        <f>ROUND('Income Statement'!I16*Assumptions!$B$74,0)</f>
        <v>4</v>
      </c>
      <c r="K8" s="254">
        <f>ROUND('Income Statement'!J16*Assumptions!$B$74,0)</f>
        <v>4</v>
      </c>
      <c r="L8" s="254">
        <f>ROUND('Income Statement'!K16*Assumptions!$B$74,0)</f>
        <v>4</v>
      </c>
      <c r="M8" s="254">
        <f>ROUND('Income Statement'!L16*Assumptions!$B$74,0)</f>
        <v>4</v>
      </c>
      <c r="N8" s="449">
        <f>ROUND('Income Statement'!M16*Assumptions!$B$74,0)</f>
        <v>4</v>
      </c>
      <c r="O8" s="254">
        <f>ROUND('Income Statement'!O16*Assumptions!$B$74,0)</f>
        <v>55</v>
      </c>
      <c r="P8" s="254">
        <f>ROUND('Income Statement'!P16*Assumptions!$B$74,0)</f>
        <v>63</v>
      </c>
      <c r="Q8" s="254">
        <f>ROUND('Income Statement'!Q16*Assumptions!$B$74,0)</f>
        <v>74</v>
      </c>
      <c r="R8" s="254">
        <f>ROUND('Income Statement'!R16*Assumptions!$B$74,0)</f>
        <v>84</v>
      </c>
    </row>
    <row r="9" spans="1:18" ht="15.75" customHeight="1">
      <c r="A9" s="39" t="s">
        <v>12</v>
      </c>
      <c r="B9" s="255">
        <f>Assumptions!B131</f>
        <v>41</v>
      </c>
      <c r="C9" s="254">
        <f>B9</f>
        <v>41</v>
      </c>
      <c r="D9" s="254">
        <f>B9</f>
        <v>41</v>
      </c>
      <c r="E9" s="254">
        <f>B9</f>
        <v>41</v>
      </c>
      <c r="F9" s="254">
        <f>B9</f>
        <v>41</v>
      </c>
      <c r="G9" s="254">
        <f>B9</f>
        <v>41</v>
      </c>
      <c r="H9" s="254">
        <f>B9</f>
        <v>41</v>
      </c>
      <c r="I9" s="254">
        <f>B9</f>
        <v>41</v>
      </c>
      <c r="J9" s="254">
        <f>B9</f>
        <v>41</v>
      </c>
      <c r="K9" s="254">
        <f>B9</f>
        <v>41</v>
      </c>
      <c r="L9" s="254">
        <f>B9</f>
        <v>41</v>
      </c>
      <c r="M9" s="254">
        <f>B9</f>
        <v>41</v>
      </c>
      <c r="N9" s="449">
        <f>ROUND('Income Statement'!N3*Assumptions!$B$35,0)</f>
        <v>59</v>
      </c>
      <c r="O9" s="254">
        <f>ROUND('Income Statement'!O3*Assumptions!$B$35,0)</f>
        <v>71</v>
      </c>
      <c r="P9" s="254">
        <f>ROUND('Income Statement'!P3*Assumptions!$B$35,0)</f>
        <v>86</v>
      </c>
      <c r="Q9" s="254">
        <f>ROUND('Income Statement'!Q3*Assumptions!$B$35,0)</f>
        <v>102</v>
      </c>
      <c r="R9" s="254">
        <f>ROUND('Income Statement'!R3*Assumptions!$B$35,0)</f>
        <v>118</v>
      </c>
    </row>
    <row r="10" spans="1:18" ht="16.5" customHeight="1">
      <c r="A10" s="38" t="s">
        <v>13</v>
      </c>
      <c r="B10" s="339">
        <f t="shared" ref="B10:R10" si="1">SUM(B5:B9)</f>
        <v>384</v>
      </c>
      <c r="C10" s="333">
        <f t="shared" si="1"/>
        <v>3925.3221854380618</v>
      </c>
      <c r="D10" s="333">
        <f t="shared" si="1"/>
        <v>3858.3646903393187</v>
      </c>
      <c r="E10" s="333">
        <f t="shared" si="1"/>
        <v>3804.39160699286</v>
      </c>
      <c r="F10" s="333">
        <f t="shared" si="1"/>
        <v>3765.8462437063345</v>
      </c>
      <c r="G10" s="333">
        <f t="shared" si="1"/>
        <v>4462.5063490682551</v>
      </c>
      <c r="H10" s="333">
        <f t="shared" si="1"/>
        <v>4407.5551870181043</v>
      </c>
      <c r="I10" s="333">
        <f t="shared" si="1"/>
        <v>4338.892480511151</v>
      </c>
      <c r="J10" s="333">
        <f t="shared" si="1"/>
        <v>4232.8992514448901</v>
      </c>
      <c r="K10" s="333">
        <f t="shared" si="1"/>
        <v>2105.4471165764057</v>
      </c>
      <c r="L10" s="333">
        <f t="shared" si="1"/>
        <v>3621.7970254340194</v>
      </c>
      <c r="M10" s="333">
        <f t="shared" si="1"/>
        <v>3461.1768210302312</v>
      </c>
      <c r="N10" s="441">
        <f t="shared" si="1"/>
        <v>3329.0098113173053</v>
      </c>
      <c r="O10" s="333">
        <f t="shared" si="1"/>
        <v>2134.475085441497</v>
      </c>
      <c r="P10" s="333">
        <f t="shared" si="1"/>
        <v>2138.3742192444174</v>
      </c>
      <c r="Q10" s="333">
        <f t="shared" si="1"/>
        <v>2730.2892712953162</v>
      </c>
      <c r="R10" s="333">
        <f t="shared" si="1"/>
        <v>3951.2551322077707</v>
      </c>
    </row>
    <row r="11" spans="1:18" ht="15.75" customHeight="1">
      <c r="A11" s="64"/>
      <c r="B11" s="260"/>
      <c r="C11" s="260"/>
      <c r="D11" s="260"/>
      <c r="E11" s="260"/>
      <c r="F11" s="260"/>
      <c r="G11" s="260"/>
      <c r="H11" s="260"/>
      <c r="I11" s="260"/>
      <c r="J11" s="260"/>
      <c r="K11" s="260"/>
      <c r="L11" s="260"/>
      <c r="M11" s="260"/>
      <c r="N11" s="461"/>
      <c r="O11" s="260"/>
      <c r="P11" s="260"/>
      <c r="Q11" s="260"/>
      <c r="R11" s="260"/>
    </row>
    <row r="12" spans="1:18" ht="15.75" customHeight="1">
      <c r="A12" s="68" t="s">
        <v>14</v>
      </c>
      <c r="B12" s="261"/>
      <c r="C12" s="261"/>
      <c r="D12" s="261"/>
      <c r="E12" s="261"/>
      <c r="F12" s="261"/>
      <c r="G12" s="261"/>
      <c r="H12" s="261"/>
      <c r="I12" s="261"/>
      <c r="J12" s="261"/>
      <c r="K12" s="261"/>
      <c r="L12" s="261"/>
      <c r="M12" s="261"/>
      <c r="N12" s="462"/>
      <c r="O12" s="261"/>
      <c r="P12" s="261"/>
      <c r="Q12" s="261"/>
      <c r="R12" s="261"/>
    </row>
    <row r="13" spans="1:18" ht="15.75" customHeight="1">
      <c r="A13" s="39" t="s">
        <v>15</v>
      </c>
      <c r="B13" s="255">
        <f>Assumptions!B134</f>
        <v>1733</v>
      </c>
      <c r="C13" s="254">
        <f>B13+Assumptions!$C$65/12</f>
        <v>1828.5</v>
      </c>
      <c r="D13" s="254">
        <f>C13+Assumptions!$C$65/12</f>
        <v>1924</v>
      </c>
      <c r="E13" s="254">
        <f>D13+Assumptions!$C$65/12</f>
        <v>2019.5</v>
      </c>
      <c r="F13" s="254">
        <f>E13+Assumptions!$C$65/12</f>
        <v>2115</v>
      </c>
      <c r="G13" s="254">
        <f>F13+Assumptions!$C$65/12</f>
        <v>2210.5</v>
      </c>
      <c r="H13" s="254">
        <f>G13+Assumptions!$C$65/12</f>
        <v>2306</v>
      </c>
      <c r="I13" s="254">
        <f>H13+Assumptions!$C$65/12</f>
        <v>2401.5</v>
      </c>
      <c r="J13" s="254">
        <f>I13+Assumptions!$C$65/12</f>
        <v>2497</v>
      </c>
      <c r="K13" s="254">
        <f>J13+Assumptions!$C$65/12+200</f>
        <v>2792.5</v>
      </c>
      <c r="L13" s="254">
        <f>K13+Assumptions!$C$65/12</f>
        <v>2888</v>
      </c>
      <c r="M13" s="254">
        <f>L13+Assumptions!$C$65/12</f>
        <v>2983.5</v>
      </c>
      <c r="N13" s="449">
        <f>M13+Assumptions!$C$65/12</f>
        <v>3079</v>
      </c>
      <c r="O13" s="254">
        <f>N13+Assumptions!$D$65</f>
        <v>3916</v>
      </c>
      <c r="P13" s="254">
        <f>O13+Assumptions!$E$65</f>
        <v>4919</v>
      </c>
      <c r="Q13" s="254">
        <f>P13+Assumptions!$F$65</f>
        <v>6070</v>
      </c>
      <c r="R13" s="254">
        <f>Q13+Assumptions!$G$65</f>
        <v>7209</v>
      </c>
    </row>
    <row r="14" spans="1:18" ht="15.75" customHeight="1">
      <c r="A14" s="39" t="s">
        <v>16</v>
      </c>
      <c r="B14" s="340">
        <f>Assumptions!B135</f>
        <v>-394</v>
      </c>
      <c r="C14" s="341">
        <f>B14-'Income Statement'!B14</f>
        <v>-432.83333333333331</v>
      </c>
      <c r="D14" s="341">
        <f>C14-'Income Statement'!C14</f>
        <v>-471.66666666666663</v>
      </c>
      <c r="E14" s="341">
        <f>D14-'Income Statement'!D14</f>
        <v>-510.49999999999994</v>
      </c>
      <c r="F14" s="341">
        <f>E14-'Income Statement'!E14</f>
        <v>-549.33333333333326</v>
      </c>
      <c r="G14" s="341">
        <f>F14-'Income Statement'!F14</f>
        <v>-588.16666666666663</v>
      </c>
      <c r="H14" s="341">
        <f>G14-'Income Statement'!G14</f>
        <v>-627</v>
      </c>
      <c r="I14" s="341">
        <f>H14-'Income Statement'!H14</f>
        <v>-665.83333333333337</v>
      </c>
      <c r="J14" s="341">
        <f>I14-'Income Statement'!I14</f>
        <v>-704.66666666666674</v>
      </c>
      <c r="K14" s="341">
        <f>J14-'Income Statement'!J14</f>
        <v>-743.50000000000011</v>
      </c>
      <c r="L14" s="341">
        <f>K14-'Income Statement'!K14</f>
        <v>-782.33333333333348</v>
      </c>
      <c r="M14" s="341">
        <f>L14-'Income Statement'!L14</f>
        <v>-821.16666666666686</v>
      </c>
      <c r="N14" s="463">
        <f>M14-'Income Statement'!M14</f>
        <v>-860.00000000000023</v>
      </c>
      <c r="O14" s="341">
        <f>N14-Assumptions!$D$56</f>
        <v>-1494.0000000000002</v>
      </c>
      <c r="P14" s="341">
        <f>O14-Assumptions!$E$56</f>
        <v>-2328</v>
      </c>
      <c r="Q14" s="341">
        <f>P14-Assumptions!$F$56</f>
        <v>-3392</v>
      </c>
      <c r="R14" s="341">
        <f>Q14-Assumptions!$G$56</f>
        <v>-4684</v>
      </c>
    </row>
    <row r="15" spans="1:18" ht="15.75" customHeight="1">
      <c r="A15" s="39" t="s">
        <v>17</v>
      </c>
      <c r="B15" s="342">
        <f t="shared" ref="B15:R15" si="2">B13+B14</f>
        <v>1339</v>
      </c>
      <c r="C15" s="335">
        <f t="shared" si="2"/>
        <v>1395.6666666666667</v>
      </c>
      <c r="D15" s="335">
        <f t="shared" si="2"/>
        <v>1452.3333333333335</v>
      </c>
      <c r="E15" s="335">
        <f t="shared" si="2"/>
        <v>1509</v>
      </c>
      <c r="F15" s="335">
        <f t="shared" si="2"/>
        <v>1565.6666666666667</v>
      </c>
      <c r="G15" s="335">
        <f t="shared" si="2"/>
        <v>1622.3333333333335</v>
      </c>
      <c r="H15" s="335">
        <f t="shared" si="2"/>
        <v>1679</v>
      </c>
      <c r="I15" s="335">
        <f t="shared" si="2"/>
        <v>1735.6666666666665</v>
      </c>
      <c r="J15" s="335">
        <f t="shared" si="2"/>
        <v>1792.3333333333333</v>
      </c>
      <c r="K15" s="335">
        <f t="shared" si="2"/>
        <v>2049</v>
      </c>
      <c r="L15" s="335">
        <f t="shared" si="2"/>
        <v>2105.6666666666665</v>
      </c>
      <c r="M15" s="335">
        <f t="shared" si="2"/>
        <v>2162.333333333333</v>
      </c>
      <c r="N15" s="439">
        <f t="shared" si="2"/>
        <v>2219</v>
      </c>
      <c r="O15" s="335">
        <f t="shared" si="2"/>
        <v>2422</v>
      </c>
      <c r="P15" s="335">
        <f t="shared" si="2"/>
        <v>2591</v>
      </c>
      <c r="Q15" s="335">
        <f t="shared" si="2"/>
        <v>2678</v>
      </c>
      <c r="R15" s="335">
        <f t="shared" si="2"/>
        <v>2525</v>
      </c>
    </row>
    <row r="16" spans="1:18" ht="15.75" customHeight="1">
      <c r="A16" s="39" t="s">
        <v>18</v>
      </c>
      <c r="B16" s="342">
        <v>0</v>
      </c>
      <c r="C16" s="335">
        <v>0</v>
      </c>
      <c r="D16" s="335">
        <v>0</v>
      </c>
      <c r="E16" s="335">
        <v>0</v>
      </c>
      <c r="F16" s="335">
        <v>0</v>
      </c>
      <c r="G16" s="335">
        <v>0</v>
      </c>
      <c r="H16" s="335">
        <v>0</v>
      </c>
      <c r="I16" s="335">
        <v>0</v>
      </c>
      <c r="J16" s="335">
        <v>0</v>
      </c>
      <c r="K16" s="431">
        <v>591.82000000000005</v>
      </c>
      <c r="L16" s="335">
        <f t="shared" ref="L16:R16" si="3">K16</f>
        <v>591.82000000000005</v>
      </c>
      <c r="M16" s="335">
        <f t="shared" si="3"/>
        <v>591.82000000000005</v>
      </c>
      <c r="N16" s="464">
        <f>N47-(N10+N15+SUM(N17:N23))</f>
        <v>647.01979134568228</v>
      </c>
      <c r="O16" s="335">
        <f t="shared" si="3"/>
        <v>647.01979134568228</v>
      </c>
      <c r="P16" s="335">
        <f t="shared" si="3"/>
        <v>647.01979134568228</v>
      </c>
      <c r="Q16" s="335">
        <f t="shared" si="3"/>
        <v>647.01979134568228</v>
      </c>
      <c r="R16" s="335">
        <f t="shared" si="3"/>
        <v>647.01979134568228</v>
      </c>
    </row>
    <row r="17" spans="1:18" ht="15.75" customHeight="1">
      <c r="A17" s="39" t="s">
        <v>19</v>
      </c>
      <c r="B17" s="342">
        <v>0</v>
      </c>
      <c r="C17" s="335">
        <v>0</v>
      </c>
      <c r="D17" s="335">
        <v>0</v>
      </c>
      <c r="E17" s="335">
        <v>0</v>
      </c>
      <c r="F17" s="335">
        <v>0</v>
      </c>
      <c r="G17" s="335">
        <v>0</v>
      </c>
      <c r="H17" s="335">
        <v>0</v>
      </c>
      <c r="I17" s="335">
        <v>0</v>
      </c>
      <c r="J17" s="335">
        <v>0</v>
      </c>
      <c r="K17" s="431">
        <v>380</v>
      </c>
      <c r="L17" s="335">
        <f t="shared" ref="L17:M21" si="4">K17</f>
        <v>380</v>
      </c>
      <c r="M17" s="335">
        <f t="shared" si="4"/>
        <v>380</v>
      </c>
      <c r="N17" s="464">
        <f>K17-380/10</f>
        <v>342</v>
      </c>
      <c r="O17" s="335">
        <f>N17-380/10</f>
        <v>304</v>
      </c>
      <c r="P17" s="335">
        <f>O17-380/10</f>
        <v>266</v>
      </c>
      <c r="Q17" s="335">
        <f>P17-380/10</f>
        <v>228</v>
      </c>
      <c r="R17" s="335">
        <f>Q17-380/10</f>
        <v>190</v>
      </c>
    </row>
    <row r="18" spans="1:18" ht="15.75" customHeight="1">
      <c r="A18" s="39" t="s">
        <v>20</v>
      </c>
      <c r="B18" s="342">
        <v>0</v>
      </c>
      <c r="C18" s="335">
        <v>0</v>
      </c>
      <c r="D18" s="335">
        <v>0</v>
      </c>
      <c r="E18" s="335">
        <v>0</v>
      </c>
      <c r="F18" s="335">
        <v>0</v>
      </c>
      <c r="G18" s="335">
        <v>0</v>
      </c>
      <c r="H18" s="335">
        <v>0</v>
      </c>
      <c r="I18" s="335">
        <v>0</v>
      </c>
      <c r="J18" s="335">
        <v>0</v>
      </c>
      <c r="K18" s="431">
        <v>175</v>
      </c>
      <c r="L18" s="335">
        <f t="shared" si="4"/>
        <v>175</v>
      </c>
      <c r="M18" s="335">
        <f t="shared" si="4"/>
        <v>175</v>
      </c>
      <c r="N18" s="464">
        <f>K18-175/10</f>
        <v>157.5</v>
      </c>
      <c r="O18" s="335">
        <f>N18-175/10</f>
        <v>140</v>
      </c>
      <c r="P18" s="335">
        <f>O18-175/10</f>
        <v>122.5</v>
      </c>
      <c r="Q18" s="335">
        <f>P18-175/10</f>
        <v>105</v>
      </c>
      <c r="R18" s="335">
        <f>Q18-175/10</f>
        <v>87.5</v>
      </c>
    </row>
    <row r="19" spans="1:18" ht="15.75" customHeight="1">
      <c r="A19" s="39" t="s">
        <v>21</v>
      </c>
      <c r="B19" s="342">
        <v>0</v>
      </c>
      <c r="C19" s="335">
        <v>0</v>
      </c>
      <c r="D19" s="335">
        <v>0</v>
      </c>
      <c r="E19" s="335">
        <v>0</v>
      </c>
      <c r="F19" s="335">
        <v>0</v>
      </c>
      <c r="G19" s="335">
        <v>0</v>
      </c>
      <c r="H19" s="335">
        <v>0</v>
      </c>
      <c r="I19" s="335">
        <v>0</v>
      </c>
      <c r="J19" s="335">
        <v>0</v>
      </c>
      <c r="K19" s="431">
        <v>145</v>
      </c>
      <c r="L19" s="335">
        <f t="shared" si="4"/>
        <v>145</v>
      </c>
      <c r="M19" s="335">
        <f t="shared" si="4"/>
        <v>145</v>
      </c>
      <c r="N19" s="464">
        <f>K19-145/10</f>
        <v>130.5</v>
      </c>
      <c r="O19" s="335">
        <f>N19-145/10</f>
        <v>116</v>
      </c>
      <c r="P19" s="335">
        <f>O19-145/10</f>
        <v>101.5</v>
      </c>
      <c r="Q19" s="335">
        <f>P19-145/10</f>
        <v>87</v>
      </c>
      <c r="R19" s="335">
        <f>Q19-145/10</f>
        <v>72.5</v>
      </c>
    </row>
    <row r="20" spans="1:18" ht="15.75" customHeight="1">
      <c r="A20" s="39" t="s">
        <v>22</v>
      </c>
      <c r="B20" s="342">
        <v>0</v>
      </c>
      <c r="C20" s="335">
        <v>0</v>
      </c>
      <c r="D20" s="335">
        <v>0</v>
      </c>
      <c r="E20" s="335">
        <v>0</v>
      </c>
      <c r="F20" s="335">
        <v>0</v>
      </c>
      <c r="G20" s="335">
        <v>0</v>
      </c>
      <c r="H20" s="335">
        <v>0</v>
      </c>
      <c r="I20" s="335">
        <v>0</v>
      </c>
      <c r="J20" s="335">
        <v>0</v>
      </c>
      <c r="K20" s="431">
        <v>100</v>
      </c>
      <c r="L20" s="335">
        <f t="shared" si="4"/>
        <v>100</v>
      </c>
      <c r="M20" s="335">
        <f t="shared" si="4"/>
        <v>100</v>
      </c>
      <c r="N20" s="464">
        <f>K20-100/10</f>
        <v>90</v>
      </c>
      <c r="O20" s="335">
        <f>N20-100/10</f>
        <v>80</v>
      </c>
      <c r="P20" s="335">
        <f>O20-100/10</f>
        <v>70</v>
      </c>
      <c r="Q20" s="335">
        <f>P20-100/10</f>
        <v>60</v>
      </c>
      <c r="R20" s="335">
        <f>Q20-100/10</f>
        <v>50</v>
      </c>
    </row>
    <row r="21" spans="1:18" ht="15.75" customHeight="1">
      <c r="A21" s="39" t="s">
        <v>23</v>
      </c>
      <c r="B21" s="342">
        <v>0</v>
      </c>
      <c r="C21" s="335">
        <v>0</v>
      </c>
      <c r="D21" s="335">
        <v>0</v>
      </c>
      <c r="E21" s="335">
        <v>0</v>
      </c>
      <c r="F21" s="335">
        <v>0</v>
      </c>
      <c r="G21" s="335">
        <v>0</v>
      </c>
      <c r="H21" s="335">
        <v>0</v>
      </c>
      <c r="I21" s="335">
        <v>0</v>
      </c>
      <c r="J21" s="335">
        <v>0</v>
      </c>
      <c r="K21" s="431">
        <v>400</v>
      </c>
      <c r="L21" s="335">
        <f t="shared" si="4"/>
        <v>400</v>
      </c>
      <c r="M21" s="335">
        <f t="shared" si="4"/>
        <v>400</v>
      </c>
      <c r="N21" s="464">
        <f>M21</f>
        <v>400</v>
      </c>
      <c r="O21" s="335">
        <f>N21</f>
        <v>400</v>
      </c>
      <c r="P21" s="335">
        <f>O21</f>
        <v>400</v>
      </c>
      <c r="Q21" s="335">
        <f>P21</f>
        <v>400</v>
      </c>
      <c r="R21" s="335">
        <f>Q21</f>
        <v>400</v>
      </c>
    </row>
    <row r="22" spans="1:18" ht="15.75" customHeight="1">
      <c r="A22" s="435" t="s">
        <v>24</v>
      </c>
      <c r="B22" s="342"/>
      <c r="C22" s="335"/>
      <c r="D22" s="335"/>
      <c r="E22" s="335"/>
      <c r="F22" s="335"/>
      <c r="G22" s="335"/>
      <c r="H22" s="335"/>
      <c r="I22" s="335"/>
      <c r="J22" s="335"/>
      <c r="K22" s="335"/>
      <c r="L22" s="335"/>
      <c r="M22" s="335"/>
      <c r="N22" s="439"/>
      <c r="O22" s="335"/>
      <c r="P22" s="335"/>
      <c r="Q22" s="335"/>
      <c r="R22" s="335"/>
    </row>
    <row r="23" spans="1:18" ht="15.75" customHeight="1">
      <c r="A23" s="39" t="s">
        <v>25</v>
      </c>
      <c r="B23" s="255">
        <f>Assumptions!B137</f>
        <v>50</v>
      </c>
      <c r="C23" s="254">
        <f t="shared" ref="C23:N23" si="5">B23</f>
        <v>50</v>
      </c>
      <c r="D23" s="254">
        <f t="shared" si="5"/>
        <v>50</v>
      </c>
      <c r="E23" s="254">
        <f t="shared" si="5"/>
        <v>50</v>
      </c>
      <c r="F23" s="254">
        <f t="shared" si="5"/>
        <v>50</v>
      </c>
      <c r="G23" s="254">
        <f t="shared" si="5"/>
        <v>50</v>
      </c>
      <c r="H23" s="254">
        <f t="shared" si="5"/>
        <v>50</v>
      </c>
      <c r="I23" s="254">
        <f t="shared" si="5"/>
        <v>50</v>
      </c>
      <c r="J23" s="254">
        <f t="shared" si="5"/>
        <v>50</v>
      </c>
      <c r="K23" s="254">
        <f t="shared" si="5"/>
        <v>50</v>
      </c>
      <c r="L23" s="254">
        <f t="shared" si="5"/>
        <v>50</v>
      </c>
      <c r="M23" s="254">
        <f t="shared" si="5"/>
        <v>50</v>
      </c>
      <c r="N23" s="449">
        <f t="shared" si="5"/>
        <v>50</v>
      </c>
      <c r="O23" s="254">
        <f>ROUND('Income Statement'!O3*($B$23/Assumptions!$B$29),0)</f>
        <v>87</v>
      </c>
      <c r="P23" s="254">
        <f>ROUND('Income Statement'!P3*($B$23/Assumptions!$B$29),0)</f>
        <v>104</v>
      </c>
      <c r="Q23" s="254">
        <f>ROUND('Income Statement'!Q3*($B$23/Assumptions!$B$29),0)</f>
        <v>124</v>
      </c>
      <c r="R23" s="254">
        <f>ROUND('Income Statement'!R3*($B$23/Assumptions!$B$29),0)</f>
        <v>144</v>
      </c>
    </row>
    <row r="24" spans="1:18" ht="15.75" customHeight="1">
      <c r="A24" s="39" t="s">
        <v>26</v>
      </c>
      <c r="B24" s="343">
        <f t="shared" ref="B24:R24" si="6">SUM(B15:B23)</f>
        <v>1389</v>
      </c>
      <c r="C24" s="336">
        <f t="shared" si="6"/>
        <v>1445.6666666666667</v>
      </c>
      <c r="D24" s="336">
        <f t="shared" si="6"/>
        <v>1502.3333333333335</v>
      </c>
      <c r="E24" s="336">
        <f t="shared" si="6"/>
        <v>1559</v>
      </c>
      <c r="F24" s="336">
        <f t="shared" si="6"/>
        <v>1615.6666666666667</v>
      </c>
      <c r="G24" s="336">
        <f t="shared" si="6"/>
        <v>1672.3333333333335</v>
      </c>
      <c r="H24" s="336">
        <f t="shared" si="6"/>
        <v>1729</v>
      </c>
      <c r="I24" s="336">
        <f t="shared" si="6"/>
        <v>1785.6666666666665</v>
      </c>
      <c r="J24" s="336">
        <f t="shared" si="6"/>
        <v>1842.3333333333333</v>
      </c>
      <c r="K24" s="336">
        <f t="shared" si="6"/>
        <v>3890.82</v>
      </c>
      <c r="L24" s="336">
        <f t="shared" si="6"/>
        <v>3947.4866666666667</v>
      </c>
      <c r="M24" s="336">
        <f t="shared" si="6"/>
        <v>4004.1533333333332</v>
      </c>
      <c r="N24" s="455">
        <f t="shared" si="6"/>
        <v>4036.0197913456823</v>
      </c>
      <c r="O24" s="336">
        <f t="shared" si="6"/>
        <v>4196.0197913456823</v>
      </c>
      <c r="P24" s="336">
        <f t="shared" si="6"/>
        <v>4302.0197913456823</v>
      </c>
      <c r="Q24" s="336">
        <f t="shared" si="6"/>
        <v>4329.0197913456823</v>
      </c>
      <c r="R24" s="336">
        <f t="shared" si="6"/>
        <v>4116.0197913456823</v>
      </c>
    </row>
    <row r="25" spans="1:18" ht="15.75" customHeight="1">
      <c r="A25" s="38"/>
      <c r="B25" s="262"/>
      <c r="C25" s="263"/>
      <c r="D25" s="263"/>
      <c r="E25" s="263"/>
      <c r="F25" s="263"/>
      <c r="G25" s="263"/>
      <c r="H25" s="263"/>
      <c r="I25" s="263"/>
      <c r="J25" s="263"/>
      <c r="K25" s="263"/>
      <c r="L25" s="263"/>
      <c r="M25" s="263"/>
      <c r="N25" s="465"/>
      <c r="O25" s="263"/>
      <c r="P25" s="263"/>
      <c r="Q25" s="263"/>
      <c r="R25" s="263"/>
    </row>
    <row r="26" spans="1:18" ht="16.5" customHeight="1">
      <c r="A26" s="38" t="s">
        <v>27</v>
      </c>
      <c r="B26" s="339">
        <f t="shared" ref="B26:R26" si="7">B10+B24</f>
        <v>1773</v>
      </c>
      <c r="C26" s="333">
        <f t="shared" si="7"/>
        <v>5370.9888521047287</v>
      </c>
      <c r="D26" s="333">
        <f t="shared" si="7"/>
        <v>5360.6980236726522</v>
      </c>
      <c r="E26" s="333">
        <f t="shared" si="7"/>
        <v>5363.39160699286</v>
      </c>
      <c r="F26" s="333">
        <f t="shared" si="7"/>
        <v>5381.5129103730014</v>
      </c>
      <c r="G26" s="333">
        <f t="shared" si="7"/>
        <v>6134.839682401589</v>
      </c>
      <c r="H26" s="333">
        <f t="shared" si="7"/>
        <v>6136.5551870181043</v>
      </c>
      <c r="I26" s="333">
        <f t="shared" si="7"/>
        <v>6124.5591471778171</v>
      </c>
      <c r="J26" s="333">
        <f t="shared" si="7"/>
        <v>6075.2325847782231</v>
      </c>
      <c r="K26" s="333">
        <f t="shared" si="7"/>
        <v>5996.2671165764059</v>
      </c>
      <c r="L26" s="333">
        <f t="shared" si="7"/>
        <v>7569.2836921006856</v>
      </c>
      <c r="M26" s="333">
        <f t="shared" si="7"/>
        <v>7465.3301543635644</v>
      </c>
      <c r="N26" s="441">
        <f t="shared" si="7"/>
        <v>7365.0296026629876</v>
      </c>
      <c r="O26" s="333">
        <f t="shared" si="7"/>
        <v>6330.4948767871792</v>
      </c>
      <c r="P26" s="333">
        <f t="shared" si="7"/>
        <v>6440.3940105901002</v>
      </c>
      <c r="Q26" s="333">
        <f t="shared" si="7"/>
        <v>7059.3090626409985</v>
      </c>
      <c r="R26" s="333">
        <f t="shared" si="7"/>
        <v>8067.2749235534529</v>
      </c>
    </row>
    <row r="27" spans="1:18" ht="15.75" customHeight="1">
      <c r="A27" s="64"/>
      <c r="B27" s="253"/>
      <c r="C27" s="253"/>
      <c r="D27" s="253"/>
      <c r="E27" s="253"/>
      <c r="F27" s="253"/>
      <c r="G27" s="253"/>
      <c r="H27" s="253"/>
      <c r="I27" s="253"/>
      <c r="J27" s="253"/>
      <c r="K27" s="253"/>
      <c r="L27" s="253"/>
      <c r="M27" s="253"/>
      <c r="N27" s="452"/>
      <c r="O27" s="253"/>
      <c r="P27" s="253"/>
      <c r="Q27" s="253"/>
      <c r="R27" s="253"/>
    </row>
    <row r="28" spans="1:18" ht="15.75" customHeight="1">
      <c r="A28" s="64" t="s">
        <v>28</v>
      </c>
      <c r="B28" s="253"/>
      <c r="C28" s="253"/>
      <c r="D28" s="253"/>
      <c r="E28" s="253"/>
      <c r="F28" s="253"/>
      <c r="G28" s="253"/>
      <c r="H28" s="253"/>
      <c r="I28" s="253"/>
      <c r="J28" s="253"/>
      <c r="K28" s="253"/>
      <c r="L28" s="253"/>
      <c r="M28" s="253"/>
      <c r="N28" s="452"/>
      <c r="O28" s="253"/>
      <c r="P28" s="253"/>
      <c r="Q28" s="253"/>
      <c r="R28" s="253"/>
    </row>
    <row r="29" spans="1:18" ht="15.75" customHeight="1">
      <c r="A29" s="68" t="s">
        <v>29</v>
      </c>
      <c r="B29" s="261"/>
      <c r="C29" s="261"/>
      <c r="D29" s="261"/>
      <c r="E29" s="261"/>
      <c r="F29" s="261"/>
      <c r="G29" s="261"/>
      <c r="H29" s="261"/>
      <c r="I29" s="261"/>
      <c r="J29" s="261"/>
      <c r="K29" s="261"/>
      <c r="L29" s="261"/>
      <c r="M29" s="261"/>
      <c r="N29" s="462"/>
      <c r="O29" s="261"/>
      <c r="P29" s="261"/>
      <c r="Q29" s="261"/>
      <c r="R29" s="261"/>
    </row>
    <row r="30" spans="1:18" ht="15.75" customHeight="1">
      <c r="A30" s="39" t="s">
        <v>30</v>
      </c>
      <c r="B30" s="255">
        <f>Assumptions!B141</f>
        <v>201</v>
      </c>
      <c r="C30" s="254">
        <f>ROUND(-'Income Statement'!C4/30*Assumptions!$B$69,0)</f>
        <v>245</v>
      </c>
      <c r="D30" s="254">
        <f>ROUND(-'Income Statement'!D4/30*Assumptions!$B$69,0)</f>
        <v>279</v>
      </c>
      <c r="E30" s="254">
        <f>ROUND(-'Income Statement'!E4/30*Assumptions!$B$69,0)</f>
        <v>314</v>
      </c>
      <c r="F30" s="254">
        <f>ROUND(-'Income Statement'!F4/30*Assumptions!$B$69,0)</f>
        <v>351</v>
      </c>
      <c r="G30" s="254">
        <f>ROUND(-'Income Statement'!G4/30*Assumptions!$B$69,0)</f>
        <v>374</v>
      </c>
      <c r="H30" s="254">
        <f>ROUND(-'Income Statement'!H4/30*Assumptions!$B$69,0)</f>
        <v>389</v>
      </c>
      <c r="I30" s="254">
        <f>ROUND(-'Income Statement'!I4/30*Assumptions!$B$69,0)</f>
        <v>385</v>
      </c>
      <c r="J30" s="254">
        <f>ROUND(-'Income Statement'!J4/30*Assumptions!$B$69,0)</f>
        <v>347</v>
      </c>
      <c r="K30" s="254">
        <f>ROUND(-'Income Statement'!K4/30*Assumptions!$B$69,0)</f>
        <v>295</v>
      </c>
      <c r="L30" s="254">
        <f>ROUND(-'Income Statement'!L4/30*Assumptions!$B$69,0)</f>
        <v>243</v>
      </c>
      <c r="M30" s="254">
        <f>ROUND(-'Income Statement'!M4/30*Assumptions!$B$69,0)</f>
        <v>236</v>
      </c>
      <c r="N30" s="449">
        <f>ROUND(-'Income Statement'!M4/30*Assumptions!$B$69,0)</f>
        <v>236</v>
      </c>
      <c r="O30" s="254">
        <f>ROUND(-'Income Statement'!O4*Assumptions!D69/365,0)</f>
        <v>354</v>
      </c>
      <c r="P30" s="254">
        <f>ROUND(-'Income Statement'!P4*Assumptions!E69/365,0)</f>
        <v>412</v>
      </c>
      <c r="Q30" s="254">
        <f>ROUND(-'Income Statement'!Q4*Assumptions!F69/365,0)</f>
        <v>479</v>
      </c>
      <c r="R30" s="254">
        <f>ROUND(-'Income Statement'!R4*Assumptions!G69/365,0)</f>
        <v>540</v>
      </c>
    </row>
    <row r="31" spans="1:18" ht="15.75" customHeight="1">
      <c r="A31" s="39" t="s">
        <v>31</v>
      </c>
      <c r="B31" s="255">
        <f>Assumptions!B142</f>
        <v>25</v>
      </c>
      <c r="C31" s="254">
        <f t="shared" ref="C31:N31" si="8">B31</f>
        <v>25</v>
      </c>
      <c r="D31" s="254">
        <f t="shared" si="8"/>
        <v>25</v>
      </c>
      <c r="E31" s="254">
        <f t="shared" si="8"/>
        <v>25</v>
      </c>
      <c r="F31" s="254">
        <f t="shared" si="8"/>
        <v>25</v>
      </c>
      <c r="G31" s="254">
        <f t="shared" si="8"/>
        <v>25</v>
      </c>
      <c r="H31" s="254">
        <f t="shared" si="8"/>
        <v>25</v>
      </c>
      <c r="I31" s="254">
        <f t="shared" si="8"/>
        <v>25</v>
      </c>
      <c r="J31" s="254">
        <f t="shared" si="8"/>
        <v>25</v>
      </c>
      <c r="K31" s="254">
        <f t="shared" si="8"/>
        <v>25</v>
      </c>
      <c r="L31" s="254">
        <f t="shared" si="8"/>
        <v>25</v>
      </c>
      <c r="M31" s="254">
        <f t="shared" si="8"/>
        <v>25</v>
      </c>
      <c r="N31" s="449">
        <f t="shared" si="8"/>
        <v>25</v>
      </c>
      <c r="O31" s="254">
        <f>ROUND(N31*('Income Statement'!O3/'Income Statement'!N3),0)</f>
        <v>30</v>
      </c>
      <c r="P31" s="254">
        <f>ROUND(O31*('Income Statement'!P3/'Income Statement'!O3),0)</f>
        <v>36</v>
      </c>
      <c r="Q31" s="254">
        <f>ROUND(P31*('Income Statement'!Q3/'Income Statement'!P3),0)</f>
        <v>43</v>
      </c>
      <c r="R31" s="254">
        <f>ROUND(Q31*('Income Statement'!R3/'Income Statement'!Q3),0)</f>
        <v>50</v>
      </c>
    </row>
    <row r="32" spans="1:18" ht="15.75" customHeight="1">
      <c r="A32" s="39" t="s">
        <v>32</v>
      </c>
      <c r="B32" s="340">
        <v>0</v>
      </c>
      <c r="C32" s="341">
        <v>0</v>
      </c>
      <c r="D32" s="341">
        <v>0</v>
      </c>
      <c r="E32" s="341">
        <v>0</v>
      </c>
      <c r="F32" s="341">
        <v>0</v>
      </c>
      <c r="G32" s="341">
        <v>0</v>
      </c>
      <c r="H32" s="341">
        <v>0</v>
      </c>
      <c r="I32" s="341">
        <v>0</v>
      </c>
      <c r="J32" s="341">
        <v>0</v>
      </c>
      <c r="K32" s="341">
        <v>0</v>
      </c>
      <c r="L32" s="341">
        <v>0</v>
      </c>
      <c r="M32" s="341">
        <v>0</v>
      </c>
      <c r="N32" s="466">
        <f>MIN('Debt Schedule'!O70,'Debt Schedule'!N68)</f>
        <v>1034.763575049207</v>
      </c>
      <c r="O32" s="341">
        <f>MIN('Debt Schedule'!P70,'Debt Schedule'!O68)</f>
        <v>844.52970906433143</v>
      </c>
      <c r="P32" s="341">
        <f>MIN('Debt Schedule'!Q70,'Debt Schedule'!P68)</f>
        <v>792.36739282983501</v>
      </c>
      <c r="Q32" s="341">
        <f>MIN('Debt Schedule'!R70,'Debt Schedule'!Q68)</f>
        <v>853.63793373647059</v>
      </c>
      <c r="R32" s="341">
        <f>MAX(0,'Debt Schedule'!R68)</f>
        <v>477.06525055544989</v>
      </c>
    </row>
    <row r="33" spans="1:18" ht="16.5" customHeight="1">
      <c r="A33" s="38" t="s">
        <v>33</v>
      </c>
      <c r="B33" s="339">
        <f t="shared" ref="B33:R33" si="9">SUM(B30:B32)</f>
        <v>226</v>
      </c>
      <c r="C33" s="333">
        <f t="shared" si="9"/>
        <v>270</v>
      </c>
      <c r="D33" s="333">
        <f t="shared" si="9"/>
        <v>304</v>
      </c>
      <c r="E33" s="333">
        <f t="shared" si="9"/>
        <v>339</v>
      </c>
      <c r="F33" s="333">
        <f t="shared" si="9"/>
        <v>376</v>
      </c>
      <c r="G33" s="333">
        <f t="shared" si="9"/>
        <v>399</v>
      </c>
      <c r="H33" s="333">
        <f t="shared" si="9"/>
        <v>414</v>
      </c>
      <c r="I33" s="333">
        <f t="shared" si="9"/>
        <v>410</v>
      </c>
      <c r="J33" s="333">
        <f t="shared" si="9"/>
        <v>372</v>
      </c>
      <c r="K33" s="333">
        <f t="shared" si="9"/>
        <v>320</v>
      </c>
      <c r="L33" s="333">
        <f t="shared" si="9"/>
        <v>268</v>
      </c>
      <c r="M33" s="333">
        <f t="shared" si="9"/>
        <v>261</v>
      </c>
      <c r="N33" s="441">
        <f t="shared" si="9"/>
        <v>1295.763575049207</v>
      </c>
      <c r="O33" s="333">
        <f t="shared" si="9"/>
        <v>1228.5297090643314</v>
      </c>
      <c r="P33" s="333">
        <f t="shared" si="9"/>
        <v>1240.3673928298349</v>
      </c>
      <c r="Q33" s="333">
        <f t="shared" si="9"/>
        <v>1375.6379337364706</v>
      </c>
      <c r="R33" s="333">
        <f t="shared" si="9"/>
        <v>1067.0652505554499</v>
      </c>
    </row>
    <row r="34" spans="1:18" ht="15.75" customHeight="1">
      <c r="A34" s="38"/>
      <c r="B34" s="262"/>
      <c r="C34" s="263"/>
      <c r="D34" s="263"/>
      <c r="E34" s="263"/>
      <c r="F34" s="263"/>
      <c r="G34" s="263"/>
      <c r="H34" s="263"/>
      <c r="I34" s="263"/>
      <c r="J34" s="263"/>
      <c r="K34" s="263"/>
      <c r="L34" s="263"/>
      <c r="M34" s="263"/>
      <c r="N34" s="465"/>
      <c r="O34" s="263"/>
      <c r="P34" s="263"/>
      <c r="Q34" s="263"/>
      <c r="R34" s="263"/>
    </row>
    <row r="35" spans="1:18" ht="15.75" customHeight="1">
      <c r="A35" s="68" t="s">
        <v>34</v>
      </c>
      <c r="B35" s="261"/>
      <c r="C35" s="261"/>
      <c r="D35" s="261"/>
      <c r="E35" s="261"/>
      <c r="F35" s="261"/>
      <c r="G35" s="261"/>
      <c r="H35" s="261"/>
      <c r="I35" s="261"/>
      <c r="J35" s="261"/>
      <c r="K35" s="261"/>
      <c r="L35" s="261"/>
      <c r="M35" s="261"/>
      <c r="N35" s="462"/>
      <c r="O35" s="261"/>
      <c r="P35" s="261"/>
      <c r="Q35" s="261"/>
      <c r="R35" s="261"/>
    </row>
    <row r="36" spans="1:18" ht="15.75" customHeight="1">
      <c r="A36" s="247" t="s">
        <v>35</v>
      </c>
      <c r="B36" s="255">
        <f>Assumptions!B86</f>
        <v>800</v>
      </c>
      <c r="C36" s="254">
        <f>'Debt Schedule'!B68</f>
        <v>2852.4583333333335</v>
      </c>
      <c r="D36" s="254">
        <f>'Debt Schedule'!C68</f>
        <v>2804.6153993055555</v>
      </c>
      <c r="E36" s="254">
        <f>'Debt Schedule'!D68</f>
        <v>2756.4692645934606</v>
      </c>
      <c r="F36" s="254">
        <f>'Debt Schedule'!E68</f>
        <v>2708.0179833190796</v>
      </c>
      <c r="G36" s="254">
        <f>'Debt Schedule'!F68</f>
        <v>3398.7345969672538</v>
      </c>
      <c r="H36" s="254">
        <f>'Debt Schedule'!G68</f>
        <v>3339.0807384693276</v>
      </c>
      <c r="I36" s="254">
        <f>'Debt Schedule'!H68</f>
        <v>3279.0540656439293</v>
      </c>
      <c r="J36" s="254">
        <f>'Debt Schedule'!I68</f>
        <v>3218.6522213327594</v>
      </c>
      <c r="K36" s="254">
        <f>'Debt Schedule'!J68</f>
        <v>3157.8728333037666</v>
      </c>
      <c r="L36" s="254">
        <f>'Debt Schedule'!K68</f>
        <v>4773.2301808203592</v>
      </c>
      <c r="M36" s="254">
        <f>'Debt Schedule'!L68</f>
        <v>4688.0616250988714</v>
      </c>
      <c r="N36" s="449">
        <f>'Debt Schedule'!N68-N32</f>
        <v>3567.6002861860861</v>
      </c>
      <c r="O36" s="254">
        <f>'Debt Schedule'!O68-O32</f>
        <v>2123.0705771217554</v>
      </c>
      <c r="P36" s="254">
        <f>'Debt Schedule'!P68-P32</f>
        <v>1330.7031842919205</v>
      </c>
      <c r="Q36" s="254">
        <f>'Debt Schedule'!Q68-Q32</f>
        <v>477.06525055544989</v>
      </c>
      <c r="R36" s="254">
        <f>'Debt Schedule'!R68-R32</f>
        <v>0</v>
      </c>
    </row>
    <row r="37" spans="1:18" ht="16.5" customHeight="1">
      <c r="A37" s="417" t="s">
        <v>36</v>
      </c>
      <c r="B37" s="416">
        <f t="shared" ref="B37:R37" si="10">B36</f>
        <v>800</v>
      </c>
      <c r="C37" s="416">
        <f t="shared" si="10"/>
        <v>2852.4583333333335</v>
      </c>
      <c r="D37" s="416">
        <f t="shared" si="10"/>
        <v>2804.6153993055555</v>
      </c>
      <c r="E37" s="416">
        <f t="shared" si="10"/>
        <v>2756.4692645934606</v>
      </c>
      <c r="F37" s="416">
        <f t="shared" si="10"/>
        <v>2708.0179833190796</v>
      </c>
      <c r="G37" s="416">
        <f t="shared" si="10"/>
        <v>3398.7345969672538</v>
      </c>
      <c r="H37" s="416">
        <f t="shared" si="10"/>
        <v>3339.0807384693276</v>
      </c>
      <c r="I37" s="416">
        <f t="shared" si="10"/>
        <v>3279.0540656439293</v>
      </c>
      <c r="J37" s="416">
        <f t="shared" si="10"/>
        <v>3218.6522213327594</v>
      </c>
      <c r="K37" s="416">
        <f t="shared" si="10"/>
        <v>3157.8728333037666</v>
      </c>
      <c r="L37" s="416">
        <f t="shared" si="10"/>
        <v>4773.2301808203592</v>
      </c>
      <c r="M37" s="416">
        <f t="shared" si="10"/>
        <v>4688.0616250988714</v>
      </c>
      <c r="N37" s="467">
        <f t="shared" si="10"/>
        <v>3567.6002861860861</v>
      </c>
      <c r="O37" s="416">
        <f t="shared" si="10"/>
        <v>2123.0705771217554</v>
      </c>
      <c r="P37" s="416">
        <f t="shared" si="10"/>
        <v>1330.7031842919205</v>
      </c>
      <c r="Q37" s="416">
        <f t="shared" si="10"/>
        <v>477.06525055544989</v>
      </c>
      <c r="R37" s="416">
        <f t="shared" si="10"/>
        <v>0</v>
      </c>
    </row>
    <row r="38" spans="1:18" ht="15.75" customHeight="1">
      <c r="A38" s="39"/>
      <c r="B38" s="252"/>
      <c r="C38" s="251"/>
      <c r="D38" s="251"/>
      <c r="E38" s="251"/>
      <c r="F38" s="251"/>
      <c r="G38" s="251"/>
      <c r="H38" s="251"/>
      <c r="I38" s="251"/>
      <c r="J38" s="251"/>
      <c r="K38" s="251"/>
      <c r="L38" s="251"/>
      <c r="M38" s="251"/>
      <c r="N38" s="446"/>
      <c r="O38" s="251"/>
      <c r="P38" s="251"/>
      <c r="Q38" s="251"/>
      <c r="R38" s="251"/>
    </row>
    <row r="39" spans="1:18" ht="16.5" customHeight="1">
      <c r="A39" s="39" t="s">
        <v>37</v>
      </c>
      <c r="B39" s="339">
        <f t="shared" ref="B39:R39" si="11">B33+B37</f>
        <v>1026</v>
      </c>
      <c r="C39" s="333">
        <f t="shared" si="11"/>
        <v>3122.4583333333335</v>
      </c>
      <c r="D39" s="333">
        <f t="shared" si="11"/>
        <v>3108.6153993055555</v>
      </c>
      <c r="E39" s="333">
        <f t="shared" si="11"/>
        <v>3095.4692645934606</v>
      </c>
      <c r="F39" s="333">
        <f t="shared" si="11"/>
        <v>3084.0179833190796</v>
      </c>
      <c r="G39" s="333">
        <f t="shared" si="11"/>
        <v>3797.7345969672538</v>
      </c>
      <c r="H39" s="333">
        <f t="shared" si="11"/>
        <v>3753.0807384693276</v>
      </c>
      <c r="I39" s="333">
        <f t="shared" si="11"/>
        <v>3689.0540656439293</v>
      </c>
      <c r="J39" s="333">
        <f t="shared" si="11"/>
        <v>3590.6522213327594</v>
      </c>
      <c r="K39" s="333">
        <f t="shared" si="11"/>
        <v>3477.8728333037666</v>
      </c>
      <c r="L39" s="333">
        <f t="shared" si="11"/>
        <v>5041.2301808203592</v>
      </c>
      <c r="M39" s="333">
        <f t="shared" si="11"/>
        <v>4949.0616250988714</v>
      </c>
      <c r="N39" s="441">
        <f t="shared" si="11"/>
        <v>4863.3638612352934</v>
      </c>
      <c r="O39" s="333">
        <f t="shared" si="11"/>
        <v>3351.600286186087</v>
      </c>
      <c r="P39" s="333">
        <f t="shared" si="11"/>
        <v>2571.0705771217554</v>
      </c>
      <c r="Q39" s="333">
        <f t="shared" si="11"/>
        <v>1852.7031842919205</v>
      </c>
      <c r="R39" s="333">
        <f t="shared" si="11"/>
        <v>1067.0652505554499</v>
      </c>
    </row>
    <row r="40" spans="1:18" ht="15.75" customHeight="1">
      <c r="A40" s="39"/>
      <c r="B40" s="240"/>
      <c r="C40" s="247"/>
      <c r="D40" s="247"/>
      <c r="E40" s="247"/>
      <c r="F40" s="247"/>
      <c r="G40" s="247"/>
      <c r="H40" s="247"/>
      <c r="I40" s="247"/>
      <c r="J40" s="247"/>
      <c r="K40" s="247"/>
      <c r="L40" s="247"/>
      <c r="M40" s="247"/>
      <c r="N40" s="438"/>
      <c r="O40" s="247"/>
      <c r="P40" s="247"/>
      <c r="Q40" s="247"/>
      <c r="R40" s="247"/>
    </row>
    <row r="41" spans="1:18" ht="15.75" customHeight="1">
      <c r="A41" s="64" t="s">
        <v>38</v>
      </c>
      <c r="B41" s="253"/>
      <c r="C41" s="253"/>
      <c r="D41" s="253"/>
      <c r="E41" s="253"/>
      <c r="F41" s="253"/>
      <c r="G41" s="253"/>
      <c r="H41" s="253"/>
      <c r="I41" s="253"/>
      <c r="J41" s="253"/>
      <c r="K41" s="253"/>
      <c r="L41" s="253"/>
      <c r="M41" s="253"/>
      <c r="N41" s="452"/>
      <c r="O41" s="253"/>
      <c r="P41" s="253"/>
      <c r="Q41" s="253"/>
      <c r="R41" s="253"/>
    </row>
    <row r="42" spans="1:18" ht="15.75" customHeight="1">
      <c r="A42" s="38" t="s">
        <v>39</v>
      </c>
      <c r="B42" s="342">
        <f>Assumptions!B150</f>
        <v>747</v>
      </c>
      <c r="C42" s="335">
        <f>B45+Assumptions!B79</f>
        <v>2247</v>
      </c>
      <c r="D42" s="335">
        <f t="shared" ref="D42:R42" si="12">C45</f>
        <v>2248.5305187713957</v>
      </c>
      <c r="E42" s="335">
        <f t="shared" si="12"/>
        <v>2252.0826243670967</v>
      </c>
      <c r="F42" s="335">
        <f t="shared" si="12"/>
        <v>2267.922342399399</v>
      </c>
      <c r="G42" s="335">
        <f t="shared" si="12"/>
        <v>2297.4949270539219</v>
      </c>
      <c r="H42" s="335">
        <f t="shared" si="12"/>
        <v>2337.1050854343343</v>
      </c>
      <c r="I42" s="335">
        <f t="shared" si="12"/>
        <v>2383.4744485487768</v>
      </c>
      <c r="J42" s="335">
        <f t="shared" si="12"/>
        <v>2435.5050815338886</v>
      </c>
      <c r="K42" s="335">
        <f t="shared" si="12"/>
        <v>2484.5803634454642</v>
      </c>
      <c r="L42" s="335">
        <f t="shared" si="12"/>
        <v>2518.3942832726398</v>
      </c>
      <c r="M42" s="335">
        <f t="shared" si="12"/>
        <v>2528.0535112803263</v>
      </c>
      <c r="N42" s="468">
        <f t="shared" si="12"/>
        <v>2516.2685292646934</v>
      </c>
      <c r="O42" s="335">
        <f t="shared" si="12"/>
        <v>2501.6657414276942</v>
      </c>
      <c r="P42" s="335">
        <f t="shared" si="12"/>
        <v>2978.8945906010922</v>
      </c>
      <c r="Q42" s="335">
        <f t="shared" si="12"/>
        <v>3869.3234334683443</v>
      </c>
      <c r="R42" s="335">
        <f t="shared" si="12"/>
        <v>5206.605878349078</v>
      </c>
    </row>
    <row r="43" spans="1:18" ht="15.75" customHeight="1">
      <c r="A43" s="38" t="s">
        <v>40</v>
      </c>
      <c r="B43" s="342">
        <v>0</v>
      </c>
      <c r="C43" s="335">
        <f>'Income Statement'!B27</f>
        <v>1.6818887597755394</v>
      </c>
      <c r="D43" s="335">
        <f>'Income Statement'!C27</f>
        <v>3.9034127425284133</v>
      </c>
      <c r="E43" s="335">
        <f>'Income Statement'!D27</f>
        <v>17.406283551980227</v>
      </c>
      <c r="F43" s="335">
        <f>'Income Statement'!E27</f>
        <v>32.49734577420098</v>
      </c>
      <c r="G43" s="335">
        <f>'Income Statement'!F27</f>
        <v>43.527646571881476</v>
      </c>
      <c r="H43" s="335">
        <f>'Income Statement'!G27</f>
        <v>50.955344081805109</v>
      </c>
      <c r="I43" s="335">
        <f>'Income Statement'!H27</f>
        <v>57.176519763859289</v>
      </c>
      <c r="J43" s="335">
        <f>'Income Statement'!I27</f>
        <v>53.92888122151129</v>
      </c>
      <c r="K43" s="335">
        <f>'Income Statement'!J27</f>
        <v>37.15815365623709</v>
      </c>
      <c r="L43" s="335">
        <f>'Income Statement'!K27</f>
        <v>10.614536272183072</v>
      </c>
      <c r="M43" s="335">
        <f>'Income Statement'!L27</f>
        <v>-11.784982015632917</v>
      </c>
      <c r="N43" s="468">
        <f>'Income Statement'!M27</f>
        <v>-14.602787836998971</v>
      </c>
      <c r="O43" s="335">
        <f>'Income Statement'!O27</f>
        <v>524.42730678395424</v>
      </c>
      <c r="P43" s="335">
        <f>'Income Statement'!P27</f>
        <v>978.49323392005726</v>
      </c>
      <c r="Q43" s="335">
        <f>'Income Statement'!Q27</f>
        <v>1469.5411482205866</v>
      </c>
      <c r="R43" s="335">
        <f>'Income Statement'!R27</f>
        <v>1970.9931809328846</v>
      </c>
    </row>
    <row r="44" spans="1:18" ht="15.75" customHeight="1">
      <c r="A44" s="418" t="s">
        <v>41</v>
      </c>
      <c r="B44" s="419">
        <v>0</v>
      </c>
      <c r="C44" s="419">
        <f>IF(C43&gt;0,C43*Assumptions!$B$104,0)</f>
        <v>0.15136998837979854</v>
      </c>
      <c r="D44" s="419">
        <f>IF(D43&gt;0,D43*Assumptions!$B$104,0)</f>
        <v>0.3513071468275572</v>
      </c>
      <c r="E44" s="419">
        <f>IF(E43&gt;0,E43*Assumptions!$B$104,0)</f>
        <v>1.5665655196782204</v>
      </c>
      <c r="F44" s="419">
        <f>IF(F43&gt;0,F43*Assumptions!$B$104,0)</f>
        <v>2.9247611196780881</v>
      </c>
      <c r="G44" s="419">
        <f>IF(G43&gt;0,G43*Assumptions!$B$104,0)</f>
        <v>3.9174881914693329</v>
      </c>
      <c r="H44" s="419">
        <f>IF(H43&gt;0,H43*Assumptions!$B$104,0)</f>
        <v>4.5859809673624596</v>
      </c>
      <c r="I44" s="419">
        <f>IF(I43&gt;0,I43*Assumptions!$B$104,0)</f>
        <v>5.1458867787473359</v>
      </c>
      <c r="J44" s="419">
        <f>IF(J43&gt;0,J43*Assumptions!$B$104,0)</f>
        <v>4.8535993099360155</v>
      </c>
      <c r="K44" s="419">
        <f>IF(K43&gt;0,K43*Assumptions!$B$104,0)</f>
        <v>3.3442338290613378</v>
      </c>
      <c r="L44" s="419">
        <f>IF(L43&gt;0,L43*Assumptions!$B$104,0)</f>
        <v>0.95530826449647643</v>
      </c>
      <c r="M44" s="419">
        <f>IF(M43&gt;0,M43*Assumptions!$B$104,0)</f>
        <v>0</v>
      </c>
      <c r="N44" s="469">
        <f>IF(N43&gt;0,N43*Assumptions!$B$104,0)</f>
        <v>0</v>
      </c>
      <c r="O44" s="419">
        <f>MIN(IF(O43&gt;0,O43*Assumptions!$B$104,0),MAX(0,'Cash Flow'!N36+'Cash Flow'!O15+'Cash Flow'!O22+'Cash Flow'!O25+'Cash Flow'!O26+'Cash Flow'!O27+'Cash Flow'!O29+'Cash Flow'!O30-Assumptions!$G$101))</f>
        <v>47.198457610555877</v>
      </c>
      <c r="P44" s="419">
        <f>MIN(IF(P43&gt;0,P43*Assumptions!$B$104,0),MAX(0,'Cash Flow'!O36+'Cash Flow'!P15+'Cash Flow'!P22+'Cash Flow'!P25+'Cash Flow'!P26+'Cash Flow'!P27+'Cash Flow'!P29+'Cash Flow'!P30-Assumptions!$G$101))</f>
        <v>88.064391052805149</v>
      </c>
      <c r="Q44" s="419">
        <f>MIN(IF(Q43&gt;0,Q43*Assumptions!$B$104,0),MAX(0,'Cash Flow'!P36+'Cash Flow'!Q15+'Cash Flow'!Q22+'Cash Flow'!Q25+'Cash Flow'!Q26+'Cash Flow'!Q27+'Cash Flow'!Q29+'Cash Flow'!Q30-Assumptions!$G$101))</f>
        <v>132.25870333985279</v>
      </c>
      <c r="R44" s="419">
        <f>MIN(IF(R43&gt;0,R43*Assumptions!$B$104,0),MAX(0,'Cash Flow'!Q36+'Cash Flow'!R15+'Cash Flow'!R22+'Cash Flow'!R25+'Cash Flow'!R26+'Cash Flow'!R27+'Cash Flow'!R29+'Cash Flow'!R30-Assumptions!$G$101))</f>
        <v>177.3893862839596</v>
      </c>
    </row>
    <row r="45" spans="1:18" ht="15.75" customHeight="1">
      <c r="A45" s="39" t="s">
        <v>42</v>
      </c>
      <c r="B45" s="343">
        <f t="shared" ref="B45:R45" si="13">B42+B43-B44</f>
        <v>747</v>
      </c>
      <c r="C45" s="336">
        <f t="shared" si="13"/>
        <v>2248.5305187713957</v>
      </c>
      <c r="D45" s="336">
        <f t="shared" si="13"/>
        <v>2252.0826243670967</v>
      </c>
      <c r="E45" s="336">
        <f t="shared" si="13"/>
        <v>2267.922342399399</v>
      </c>
      <c r="F45" s="336">
        <f t="shared" si="13"/>
        <v>2297.4949270539219</v>
      </c>
      <c r="G45" s="336">
        <f t="shared" si="13"/>
        <v>2337.1050854343343</v>
      </c>
      <c r="H45" s="336">
        <f t="shared" si="13"/>
        <v>2383.4744485487768</v>
      </c>
      <c r="I45" s="336">
        <f t="shared" si="13"/>
        <v>2435.5050815338886</v>
      </c>
      <c r="J45" s="336">
        <f t="shared" si="13"/>
        <v>2484.5803634454642</v>
      </c>
      <c r="K45" s="336">
        <f t="shared" si="13"/>
        <v>2518.3942832726398</v>
      </c>
      <c r="L45" s="336">
        <f t="shared" si="13"/>
        <v>2528.0535112803263</v>
      </c>
      <c r="M45" s="336">
        <f t="shared" si="13"/>
        <v>2516.2685292646934</v>
      </c>
      <c r="N45" s="455">
        <f t="shared" si="13"/>
        <v>2501.6657414276942</v>
      </c>
      <c r="O45" s="336">
        <f t="shared" si="13"/>
        <v>2978.8945906010922</v>
      </c>
      <c r="P45" s="336">
        <f t="shared" si="13"/>
        <v>3869.3234334683443</v>
      </c>
      <c r="Q45" s="336">
        <f t="shared" si="13"/>
        <v>5206.605878349078</v>
      </c>
      <c r="R45" s="336">
        <f t="shared" si="13"/>
        <v>7000.209672998003</v>
      </c>
    </row>
    <row r="46" spans="1:18" ht="15.75" customHeight="1">
      <c r="A46" s="39"/>
      <c r="B46" s="252"/>
      <c r="C46" s="251"/>
      <c r="D46" s="251"/>
      <c r="E46" s="251"/>
      <c r="F46" s="251"/>
      <c r="G46" s="251"/>
      <c r="H46" s="251"/>
      <c r="I46" s="251"/>
      <c r="J46" s="251"/>
      <c r="K46" s="251"/>
      <c r="L46" s="251"/>
      <c r="M46" s="251"/>
      <c r="N46" s="446"/>
      <c r="O46" s="251"/>
      <c r="P46" s="251"/>
      <c r="Q46" s="251"/>
      <c r="R46" s="251"/>
    </row>
    <row r="47" spans="1:18" ht="16.5" customHeight="1">
      <c r="A47" s="39" t="s">
        <v>43</v>
      </c>
      <c r="B47" s="339">
        <f t="shared" ref="B47:R47" si="14">B39+B45</f>
        <v>1773</v>
      </c>
      <c r="C47" s="333">
        <f t="shared" si="14"/>
        <v>5370.9888521047287</v>
      </c>
      <c r="D47" s="333">
        <f t="shared" si="14"/>
        <v>5360.6980236726522</v>
      </c>
      <c r="E47" s="333">
        <f t="shared" si="14"/>
        <v>5363.39160699286</v>
      </c>
      <c r="F47" s="333">
        <f t="shared" si="14"/>
        <v>5381.5129103730014</v>
      </c>
      <c r="G47" s="333">
        <f t="shared" si="14"/>
        <v>6134.8396824015881</v>
      </c>
      <c r="H47" s="333">
        <f t="shared" si="14"/>
        <v>6136.5551870181043</v>
      </c>
      <c r="I47" s="333">
        <f t="shared" si="14"/>
        <v>6124.559147177818</v>
      </c>
      <c r="J47" s="333">
        <f t="shared" si="14"/>
        <v>6075.2325847782231</v>
      </c>
      <c r="K47" s="333">
        <f t="shared" si="14"/>
        <v>5996.2671165764059</v>
      </c>
      <c r="L47" s="333">
        <f t="shared" si="14"/>
        <v>7569.2836921006856</v>
      </c>
      <c r="M47" s="333">
        <f t="shared" si="14"/>
        <v>7465.3301543635644</v>
      </c>
      <c r="N47" s="441">
        <f t="shared" si="14"/>
        <v>7365.0296026629876</v>
      </c>
      <c r="O47" s="333">
        <f t="shared" si="14"/>
        <v>6330.4948767871792</v>
      </c>
      <c r="P47" s="333">
        <f t="shared" si="14"/>
        <v>6440.3940105901002</v>
      </c>
      <c r="Q47" s="333">
        <f t="shared" si="14"/>
        <v>7059.3090626409985</v>
      </c>
      <c r="R47" s="333">
        <f t="shared" si="14"/>
        <v>8067.2749235534529</v>
      </c>
    </row>
    <row r="48" spans="1:18" ht="15.75" customHeight="1">
      <c r="A48" s="38"/>
      <c r="B48" s="264"/>
      <c r="C48" s="38"/>
      <c r="D48" s="38"/>
      <c r="E48" s="38"/>
      <c r="F48" s="38"/>
      <c r="G48" s="38"/>
      <c r="H48" s="38"/>
      <c r="I48" s="38"/>
      <c r="J48" s="38"/>
      <c r="K48" s="38"/>
      <c r="L48" s="38"/>
      <c r="M48" s="38"/>
      <c r="N48" s="470"/>
      <c r="O48" s="38"/>
      <c r="P48" s="38"/>
      <c r="Q48" s="38"/>
      <c r="R48" s="38"/>
    </row>
    <row r="49" spans="1:18" ht="16.5" customHeight="1">
      <c r="A49" s="257" t="s">
        <v>44</v>
      </c>
      <c r="B49" s="344">
        <f t="shared" ref="B49:R49" si="15">B26-B47</f>
        <v>0</v>
      </c>
      <c r="C49" s="345">
        <f t="shared" si="15"/>
        <v>0</v>
      </c>
      <c r="D49" s="345">
        <f t="shared" si="15"/>
        <v>0</v>
      </c>
      <c r="E49" s="345">
        <f t="shared" si="15"/>
        <v>0</v>
      </c>
      <c r="F49" s="345">
        <f t="shared" si="15"/>
        <v>0</v>
      </c>
      <c r="G49" s="345">
        <f t="shared" si="15"/>
        <v>0</v>
      </c>
      <c r="H49" s="345">
        <f t="shared" si="15"/>
        <v>0</v>
      </c>
      <c r="I49" s="345">
        <f t="shared" si="15"/>
        <v>0</v>
      </c>
      <c r="J49" s="345">
        <f t="shared" si="15"/>
        <v>0</v>
      </c>
      <c r="K49" s="345">
        <f t="shared" si="15"/>
        <v>0</v>
      </c>
      <c r="L49" s="345">
        <f t="shared" si="15"/>
        <v>0</v>
      </c>
      <c r="M49" s="345">
        <f t="shared" si="15"/>
        <v>0</v>
      </c>
      <c r="N49" s="471">
        <f t="shared" si="15"/>
        <v>0</v>
      </c>
      <c r="O49" s="345">
        <f t="shared" si="15"/>
        <v>0</v>
      </c>
      <c r="P49" s="345">
        <f t="shared" si="15"/>
        <v>0</v>
      </c>
      <c r="Q49" s="345">
        <f t="shared" si="15"/>
        <v>0</v>
      </c>
      <c r="R49" s="345">
        <f t="shared" si="15"/>
        <v>0</v>
      </c>
    </row>
    <row r="50" spans="1:18" ht="16.5" customHeight="1">
      <c r="A50" s="38"/>
      <c r="B50" s="38"/>
      <c r="C50" s="38"/>
      <c r="D50" s="38"/>
      <c r="E50" s="38"/>
      <c r="F50" s="38"/>
      <c r="G50" s="38"/>
      <c r="H50" s="38"/>
      <c r="I50" s="38"/>
      <c r="J50" s="38"/>
      <c r="K50" s="38"/>
      <c r="L50" s="38"/>
      <c r="M50" s="38"/>
      <c r="N50" s="472"/>
      <c r="O50" s="38"/>
      <c r="P50" s="38"/>
      <c r="Q50" s="38"/>
      <c r="R50" s="38"/>
    </row>
    <row r="51" spans="1:18" ht="15.75" customHeight="1">
      <c r="A51" s="265" t="s">
        <v>45</v>
      </c>
      <c r="B51" s="16"/>
      <c r="C51" s="16"/>
      <c r="D51" s="16"/>
      <c r="E51" s="16"/>
      <c r="F51" s="16"/>
      <c r="G51" s="16"/>
      <c r="H51" s="16"/>
      <c r="I51" s="16"/>
      <c r="J51" s="16"/>
      <c r="K51" s="16"/>
      <c r="L51" s="16"/>
      <c r="M51" s="16"/>
      <c r="N51" s="458"/>
      <c r="O51" s="16"/>
      <c r="P51" s="16"/>
      <c r="Q51" s="16"/>
      <c r="R51" s="16"/>
    </row>
  </sheetData>
  <mergeCells count="1">
    <mergeCell ref="A1:R1"/>
  </mergeCell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AD47"/>
  </sheetPr>
  <dimension ref="A1:R39"/>
  <sheetViews>
    <sheetView zoomScale="115" zoomScaleNormal="115" workbookViewId="0">
      <pane xSplit="1" ySplit="2" topLeftCell="B3" activePane="bottomRight" state="frozen"/>
      <selection pane="topRight"/>
      <selection pane="bottomLeft"/>
      <selection pane="bottomRight" activeCell="E12" sqref="E12"/>
    </sheetView>
  </sheetViews>
  <sheetFormatPr baseColWidth="10" defaultColWidth="11" defaultRowHeight="15.75" customHeight="1"/>
  <cols>
    <col min="1" max="1" width="39.1640625" customWidth="1"/>
    <col min="2" max="13" width="14" customWidth="1"/>
    <col min="14" max="14" width="15.83203125" customWidth="1"/>
    <col min="15" max="18" width="16.5" customWidth="1"/>
  </cols>
  <sheetData>
    <row r="1" spans="1:18" ht="16.5" customHeight="1">
      <c r="A1" s="552" t="s">
        <v>544</v>
      </c>
      <c r="B1" s="546"/>
      <c r="C1" s="546"/>
      <c r="D1" s="546"/>
      <c r="E1" s="546"/>
      <c r="F1" s="546"/>
      <c r="G1" s="546"/>
      <c r="H1" s="546"/>
      <c r="I1" s="546"/>
      <c r="J1" s="546"/>
      <c r="K1" s="546"/>
      <c r="L1" s="546"/>
      <c r="M1" s="546"/>
      <c r="N1" s="546"/>
      <c r="O1" s="546"/>
      <c r="P1" s="546"/>
      <c r="Q1" s="546"/>
      <c r="R1" s="546"/>
    </row>
    <row r="2" spans="1:18" ht="15.75" customHeight="1">
      <c r="A2" s="238"/>
      <c r="B2" s="266">
        <v>46048</v>
      </c>
      <c r="C2" s="266">
        <v>46079</v>
      </c>
      <c r="D2" s="266">
        <v>46107</v>
      </c>
      <c r="E2" s="266">
        <v>46138</v>
      </c>
      <c r="F2" s="266">
        <v>46168</v>
      </c>
      <c r="G2" s="266">
        <v>46199</v>
      </c>
      <c r="H2" s="266">
        <v>46229</v>
      </c>
      <c r="I2" s="266">
        <v>46260</v>
      </c>
      <c r="J2" s="266">
        <v>46291</v>
      </c>
      <c r="K2" s="266">
        <v>46321</v>
      </c>
      <c r="L2" s="266">
        <v>46352</v>
      </c>
      <c r="M2" s="266">
        <v>46382</v>
      </c>
      <c r="N2" s="437" t="s">
        <v>512</v>
      </c>
      <c r="O2" s="69" t="s">
        <v>2</v>
      </c>
      <c r="P2" s="69" t="s">
        <v>3</v>
      </c>
      <c r="Q2" s="69" t="s">
        <v>4</v>
      </c>
      <c r="R2" s="69" t="s">
        <v>5</v>
      </c>
    </row>
    <row r="3" spans="1:18" ht="15.75" customHeight="1">
      <c r="A3" s="64" t="s">
        <v>545</v>
      </c>
      <c r="B3" s="260"/>
      <c r="C3" s="260"/>
      <c r="D3" s="260"/>
      <c r="E3" s="260"/>
      <c r="F3" s="260"/>
      <c r="G3" s="260"/>
      <c r="H3" s="260"/>
      <c r="I3" s="260"/>
      <c r="J3" s="260"/>
      <c r="K3" s="260"/>
      <c r="L3" s="260"/>
      <c r="M3" s="260"/>
      <c r="N3" s="461"/>
      <c r="O3" s="260"/>
      <c r="P3" s="260"/>
      <c r="Q3" s="260"/>
      <c r="R3" s="260"/>
    </row>
    <row r="4" spans="1:18" ht="15.75" customHeight="1">
      <c r="A4" s="65" t="s">
        <v>40</v>
      </c>
      <c r="B4" s="239">
        <f>'Income Statement'!B27</f>
        <v>1.6818887597755394</v>
      </c>
      <c r="C4" s="239">
        <f>'Income Statement'!C27</f>
        <v>3.9034127425284133</v>
      </c>
      <c r="D4" s="239">
        <f>'Income Statement'!D27</f>
        <v>17.406283551980227</v>
      </c>
      <c r="E4" s="239">
        <f>'Income Statement'!E27</f>
        <v>32.49734577420098</v>
      </c>
      <c r="F4" s="239">
        <f>'Income Statement'!F27</f>
        <v>43.527646571881476</v>
      </c>
      <c r="G4" s="239">
        <f>'Income Statement'!G27</f>
        <v>50.955344081805109</v>
      </c>
      <c r="H4" s="239">
        <f>'Income Statement'!H27</f>
        <v>57.176519763859289</v>
      </c>
      <c r="I4" s="239">
        <f>'Income Statement'!I27</f>
        <v>53.92888122151129</v>
      </c>
      <c r="J4" s="239">
        <f>'Income Statement'!J27</f>
        <v>37.15815365623709</v>
      </c>
      <c r="K4" s="239">
        <f>'Income Statement'!K27</f>
        <v>10.614536272183072</v>
      </c>
      <c r="L4" s="239">
        <f>'Income Statement'!L27</f>
        <v>-11.784982015632917</v>
      </c>
      <c r="M4" s="239">
        <f>'Income Statement'!M27</f>
        <v>-14.602787836998971</v>
      </c>
      <c r="N4" s="474">
        <f>'Income Statement'!N27</f>
        <v>235.44245119764778</v>
      </c>
      <c r="O4" s="239">
        <f>'Income Statement'!O27</f>
        <v>524.42730678395424</v>
      </c>
      <c r="P4" s="239">
        <f>'Income Statement'!P27</f>
        <v>978.49323392005726</v>
      </c>
      <c r="Q4" s="239">
        <f>'Income Statement'!Q27</f>
        <v>1469.5411482205866</v>
      </c>
      <c r="R4" s="239">
        <f>'Income Statement'!R27</f>
        <v>1970.9931809328846</v>
      </c>
    </row>
    <row r="5" spans="1:18" ht="15.75" customHeight="1">
      <c r="A5" s="65" t="s">
        <v>533</v>
      </c>
      <c r="B5" s="239">
        <f>'Income Statement'!B14</f>
        <v>38.833333333333336</v>
      </c>
      <c r="C5" s="239">
        <f>'Income Statement'!C14</f>
        <v>38.833333333333336</v>
      </c>
      <c r="D5" s="239">
        <f>'Income Statement'!D14</f>
        <v>38.833333333333336</v>
      </c>
      <c r="E5" s="239">
        <f>'Income Statement'!E14</f>
        <v>38.833333333333336</v>
      </c>
      <c r="F5" s="239">
        <f>'Income Statement'!F14</f>
        <v>38.833333333333336</v>
      </c>
      <c r="G5" s="239">
        <f>'Income Statement'!G14</f>
        <v>38.833333333333336</v>
      </c>
      <c r="H5" s="239">
        <f>'Income Statement'!H14</f>
        <v>38.833333333333336</v>
      </c>
      <c r="I5" s="239">
        <f>'Income Statement'!I14</f>
        <v>38.833333333333336</v>
      </c>
      <c r="J5" s="239">
        <f>'Income Statement'!J14</f>
        <v>38.833333333333336</v>
      </c>
      <c r="K5" s="239">
        <f>'Income Statement'!K14</f>
        <v>38.833333333333336</v>
      </c>
      <c r="L5" s="239">
        <f>'Income Statement'!L14</f>
        <v>38.833333333333336</v>
      </c>
      <c r="M5" s="239">
        <f>'Income Statement'!M14</f>
        <v>38.833333333333336</v>
      </c>
      <c r="N5" s="474">
        <f>SUM(B5:M5)+80</f>
        <v>546</v>
      </c>
      <c r="O5" s="239">
        <f>'Income Statement'!O14</f>
        <v>714</v>
      </c>
      <c r="P5" s="239">
        <f>'Income Statement'!P14</f>
        <v>914</v>
      </c>
      <c r="Q5" s="239">
        <f>'Income Statement'!Q14</f>
        <v>1144</v>
      </c>
      <c r="R5" s="239">
        <f>'Income Statement'!R14</f>
        <v>1372</v>
      </c>
    </row>
    <row r="6" spans="1:18" ht="15.75" customHeight="1">
      <c r="A6" s="65" t="s">
        <v>546</v>
      </c>
      <c r="B6" s="239"/>
      <c r="C6" s="239"/>
      <c r="D6" s="239"/>
      <c r="E6" s="239"/>
      <c r="F6" s="239"/>
      <c r="G6" s="239"/>
      <c r="H6" s="239"/>
      <c r="I6" s="239"/>
      <c r="J6" s="239"/>
      <c r="K6" s="239"/>
      <c r="L6" s="239"/>
      <c r="M6" s="239"/>
      <c r="N6" s="474"/>
      <c r="O6" s="239"/>
      <c r="P6" s="239"/>
      <c r="Q6" s="239"/>
      <c r="R6" s="239"/>
    </row>
    <row r="7" spans="1:18" ht="15.75" customHeight="1">
      <c r="A7" s="65" t="s">
        <v>547</v>
      </c>
      <c r="B7" s="239">
        <f>-('Balance Sheet'!C6-'Balance Sheet'!B6)</f>
        <v>-380</v>
      </c>
      <c r="C7" s="239">
        <f>-('Balance Sheet'!D6-'Balance Sheet'!C6)</f>
        <v>-9</v>
      </c>
      <c r="D7" s="239">
        <f>-('Balance Sheet'!E6-'Balance Sheet'!D6)</f>
        <v>-95</v>
      </c>
      <c r="E7" s="239">
        <f>-('Balance Sheet'!F6-'Balance Sheet'!E6)</f>
        <v>-100</v>
      </c>
      <c r="F7" s="239">
        <f>-('Balance Sheet'!G6-'Balance Sheet'!F6)</f>
        <v>-100</v>
      </c>
      <c r="G7" s="239">
        <f>-('Balance Sheet'!H6-'Balance Sheet'!G6)</f>
        <v>-61</v>
      </c>
      <c r="H7" s="239">
        <f>-('Balance Sheet'!I6-'Balance Sheet'!H6)</f>
        <v>-44</v>
      </c>
      <c r="I7" s="239">
        <f>-('Balance Sheet'!J6-'Balance Sheet'!I6)</f>
        <v>15</v>
      </c>
      <c r="J7" s="239">
        <f>-('Balance Sheet'!K6-'Balance Sheet'!J6)</f>
        <v>111</v>
      </c>
      <c r="K7" s="239">
        <f>-('Balance Sheet'!L6-'Balance Sheet'!K6)</f>
        <v>143</v>
      </c>
      <c r="L7" s="239">
        <f>-('Balance Sheet'!M6-'Balance Sheet'!L6)</f>
        <v>141</v>
      </c>
      <c r="M7" s="239">
        <f>-('Balance Sheet'!N6-'Balance Sheet'!M6)</f>
        <v>19</v>
      </c>
      <c r="N7" s="474">
        <f t="shared" ref="N7:N13" si="0">SUM(B7:M7)</f>
        <v>-360</v>
      </c>
      <c r="O7" s="239">
        <f>-('Balance Sheet'!O6-'Balance Sheet'!N6)</f>
        <v>-333</v>
      </c>
      <c r="P7" s="239">
        <f>-('Balance Sheet'!P6-'Balance Sheet'!O6)</f>
        <v>-163</v>
      </c>
      <c r="Q7" s="239">
        <f>-('Balance Sheet'!Q6-'Balance Sheet'!P6)</f>
        <v>-178</v>
      </c>
      <c r="R7" s="239">
        <f>-('Balance Sheet'!R6-'Balance Sheet'!Q6)</f>
        <v>-201</v>
      </c>
    </row>
    <row r="8" spans="1:18" ht="15.75" customHeight="1">
      <c r="A8" s="65" t="s">
        <v>548</v>
      </c>
      <c r="B8" s="239">
        <f>-('Balance Sheet'!C7-'Balance Sheet'!B7)</f>
        <v>4</v>
      </c>
      <c r="C8" s="239">
        <f>-('Balance Sheet'!D7-'Balance Sheet'!C7)</f>
        <v>0</v>
      </c>
      <c r="D8" s="239">
        <f>-('Balance Sheet'!E7-'Balance Sheet'!D7)</f>
        <v>0</v>
      </c>
      <c r="E8" s="239">
        <f>-('Balance Sheet'!F7-'Balance Sheet'!E7)</f>
        <v>0</v>
      </c>
      <c r="F8" s="239">
        <f>-('Balance Sheet'!G7-'Balance Sheet'!F7)</f>
        <v>0</v>
      </c>
      <c r="G8" s="239">
        <f>-('Balance Sheet'!H7-'Balance Sheet'!G7)</f>
        <v>0</v>
      </c>
      <c r="H8" s="239">
        <f>-('Balance Sheet'!I7-'Balance Sheet'!H7)</f>
        <v>0</v>
      </c>
      <c r="I8" s="239">
        <f>-('Balance Sheet'!J7-'Balance Sheet'!I7)</f>
        <v>0</v>
      </c>
      <c r="J8" s="239">
        <f>-('Balance Sheet'!K7-'Balance Sheet'!J7)</f>
        <v>0</v>
      </c>
      <c r="K8" s="239">
        <f>-('Balance Sheet'!L7-'Balance Sheet'!K7)</f>
        <v>0</v>
      </c>
      <c r="L8" s="239">
        <f>-('Balance Sheet'!M7-'Balance Sheet'!L7)</f>
        <v>0</v>
      </c>
      <c r="M8" s="239">
        <f>-('Balance Sheet'!N7-'Balance Sheet'!M7)</f>
        <v>0</v>
      </c>
      <c r="N8" s="474">
        <f t="shared" si="0"/>
        <v>4</v>
      </c>
      <c r="O8" s="239">
        <f>-('Balance Sheet'!O7-'Balance Sheet'!N7)</f>
        <v>-16</v>
      </c>
      <c r="P8" s="239">
        <f>-('Balance Sheet'!P7-'Balance Sheet'!O7)</f>
        <v>-6</v>
      </c>
      <c r="Q8" s="239">
        <f>-('Balance Sheet'!Q7-'Balance Sheet'!P7)</f>
        <v>-7</v>
      </c>
      <c r="R8" s="239">
        <f>-('Balance Sheet'!R7-'Balance Sheet'!Q7)</f>
        <v>-8</v>
      </c>
    </row>
    <row r="9" spans="1:18" ht="15.75" customHeight="1">
      <c r="A9" s="65" t="s">
        <v>549</v>
      </c>
      <c r="B9" s="239">
        <f>-('Balance Sheet'!C8-'Balance Sheet'!B8)</f>
        <v>26</v>
      </c>
      <c r="C9" s="239">
        <f>-('Balance Sheet'!D8-'Balance Sheet'!C8)</f>
        <v>0</v>
      </c>
      <c r="D9" s="239">
        <f>-('Balance Sheet'!E8-'Balance Sheet'!D8)</f>
        <v>0</v>
      </c>
      <c r="E9" s="239">
        <f>-('Balance Sheet'!F8-'Balance Sheet'!E8)</f>
        <v>0</v>
      </c>
      <c r="F9" s="239">
        <f>-('Balance Sheet'!G8-'Balance Sheet'!F8)</f>
        <v>0</v>
      </c>
      <c r="G9" s="239">
        <f>-('Balance Sheet'!H8-'Balance Sheet'!G8)</f>
        <v>0</v>
      </c>
      <c r="H9" s="239">
        <f>-('Balance Sheet'!I8-'Balance Sheet'!H8)</f>
        <v>0</v>
      </c>
      <c r="I9" s="239">
        <f>-('Balance Sheet'!J8-'Balance Sheet'!I8)</f>
        <v>0</v>
      </c>
      <c r="J9" s="239">
        <f>-('Balance Sheet'!K8-'Balance Sheet'!J8)</f>
        <v>0</v>
      </c>
      <c r="K9" s="239">
        <f>-('Balance Sheet'!L8-'Balance Sheet'!K8)</f>
        <v>0</v>
      </c>
      <c r="L9" s="239">
        <f>-('Balance Sheet'!M8-'Balance Sheet'!L8)</f>
        <v>0</v>
      </c>
      <c r="M9" s="239">
        <f>-('Balance Sheet'!N8-'Balance Sheet'!M8)</f>
        <v>0</v>
      </c>
      <c r="N9" s="474">
        <f t="shared" si="0"/>
        <v>26</v>
      </c>
      <c r="O9" s="239">
        <f>-('Balance Sheet'!O8-'Balance Sheet'!N8)</f>
        <v>-51</v>
      </c>
      <c r="P9" s="239">
        <f>-('Balance Sheet'!P8-'Balance Sheet'!O8)</f>
        <v>-8</v>
      </c>
      <c r="Q9" s="239">
        <f>-('Balance Sheet'!Q8-'Balance Sheet'!P8)</f>
        <v>-11</v>
      </c>
      <c r="R9" s="239">
        <f>-('Balance Sheet'!R8-'Balance Sheet'!Q8)</f>
        <v>-10</v>
      </c>
    </row>
    <row r="10" spans="1:18" ht="15.75" customHeight="1">
      <c r="A10" s="65" t="s">
        <v>550</v>
      </c>
      <c r="B10" s="239">
        <f>'Balance Sheet'!C30-'Balance Sheet'!B30</f>
        <v>44</v>
      </c>
      <c r="C10" s="239">
        <f>'Balance Sheet'!D30-'Balance Sheet'!C30</f>
        <v>34</v>
      </c>
      <c r="D10" s="239">
        <f>'Balance Sheet'!E30-'Balance Sheet'!D30</f>
        <v>35</v>
      </c>
      <c r="E10" s="239">
        <f>'Balance Sheet'!F30-'Balance Sheet'!E30</f>
        <v>37</v>
      </c>
      <c r="F10" s="239">
        <f>'Balance Sheet'!G30-'Balance Sheet'!F30</f>
        <v>23</v>
      </c>
      <c r="G10" s="239">
        <f>'Balance Sheet'!H30-'Balance Sheet'!G30</f>
        <v>15</v>
      </c>
      <c r="H10" s="239">
        <f>'Balance Sheet'!I30-'Balance Sheet'!H30</f>
        <v>-4</v>
      </c>
      <c r="I10" s="239">
        <f>'Balance Sheet'!J30-'Balance Sheet'!I30</f>
        <v>-38</v>
      </c>
      <c r="J10" s="239">
        <f>'Balance Sheet'!K30-'Balance Sheet'!J30</f>
        <v>-52</v>
      </c>
      <c r="K10" s="239">
        <f>'Balance Sheet'!L30-'Balance Sheet'!K30</f>
        <v>-52</v>
      </c>
      <c r="L10" s="239">
        <f>'Balance Sheet'!M30-'Balance Sheet'!L30</f>
        <v>-7</v>
      </c>
      <c r="M10" s="239">
        <f>'Balance Sheet'!N30-'Balance Sheet'!M30</f>
        <v>0</v>
      </c>
      <c r="N10" s="474">
        <f t="shared" si="0"/>
        <v>35</v>
      </c>
      <c r="O10" s="239">
        <f>'Balance Sheet'!O30-'Balance Sheet'!N30</f>
        <v>118</v>
      </c>
      <c r="P10" s="239">
        <f>'Balance Sheet'!P30-'Balance Sheet'!O30</f>
        <v>58</v>
      </c>
      <c r="Q10" s="239">
        <f>'Balance Sheet'!Q30-'Balance Sheet'!P30</f>
        <v>67</v>
      </c>
      <c r="R10" s="239">
        <f>'Balance Sheet'!R30-'Balance Sheet'!Q30</f>
        <v>61</v>
      </c>
    </row>
    <row r="11" spans="1:18" ht="15.75" customHeight="1">
      <c r="A11" s="65" t="s">
        <v>551</v>
      </c>
      <c r="B11" s="239">
        <f>'Balance Sheet'!C31-'Balance Sheet'!B31</f>
        <v>0</v>
      </c>
      <c r="C11" s="239">
        <f>'Balance Sheet'!D31-'Balance Sheet'!C31</f>
        <v>0</v>
      </c>
      <c r="D11" s="239">
        <f>'Balance Sheet'!E31-'Balance Sheet'!D31</f>
        <v>0</v>
      </c>
      <c r="E11" s="239">
        <f>'Balance Sheet'!F31-'Balance Sheet'!E31</f>
        <v>0</v>
      </c>
      <c r="F11" s="239">
        <f>'Balance Sheet'!G31-'Balance Sheet'!F31</f>
        <v>0</v>
      </c>
      <c r="G11" s="239">
        <f>'Balance Sheet'!H31-'Balance Sheet'!G31</f>
        <v>0</v>
      </c>
      <c r="H11" s="239">
        <f>'Balance Sheet'!I31-'Balance Sheet'!H31</f>
        <v>0</v>
      </c>
      <c r="I11" s="239">
        <f>'Balance Sheet'!J31-'Balance Sheet'!I31</f>
        <v>0</v>
      </c>
      <c r="J11" s="239">
        <f>'Balance Sheet'!K31-'Balance Sheet'!J31</f>
        <v>0</v>
      </c>
      <c r="K11" s="239">
        <f>'Balance Sheet'!L31-'Balance Sheet'!K31</f>
        <v>0</v>
      </c>
      <c r="L11" s="239">
        <f>'Balance Sheet'!M31-'Balance Sheet'!L31</f>
        <v>0</v>
      </c>
      <c r="M11" s="239">
        <f>'Balance Sheet'!N31-'Balance Sheet'!M31</f>
        <v>0</v>
      </c>
      <c r="N11" s="474">
        <f t="shared" si="0"/>
        <v>0</v>
      </c>
      <c r="O11" s="239">
        <f>'Balance Sheet'!O31-'Balance Sheet'!N31</f>
        <v>5</v>
      </c>
      <c r="P11" s="239">
        <f>'Balance Sheet'!P31-'Balance Sheet'!O31</f>
        <v>6</v>
      </c>
      <c r="Q11" s="239">
        <f>'Balance Sheet'!Q31-'Balance Sheet'!P31</f>
        <v>7</v>
      </c>
      <c r="R11" s="239">
        <f>'Balance Sheet'!R31-'Balance Sheet'!Q31</f>
        <v>7</v>
      </c>
    </row>
    <row r="12" spans="1:18" ht="15.75" customHeight="1">
      <c r="A12" s="39" t="s">
        <v>552</v>
      </c>
      <c r="B12" s="267">
        <f>-('Balance Sheet'!C9-'Balance Sheet'!B9)</f>
        <v>0</v>
      </c>
      <c r="C12" s="267">
        <f>-('Balance Sheet'!D9-'Balance Sheet'!C9)</f>
        <v>0</v>
      </c>
      <c r="D12" s="267">
        <f>-('Balance Sheet'!E9-'Balance Sheet'!D9)</f>
        <v>0</v>
      </c>
      <c r="E12" s="267">
        <f>-('Balance Sheet'!F9-'Balance Sheet'!E9)</f>
        <v>0</v>
      </c>
      <c r="F12" s="267">
        <f>-('Balance Sheet'!G9-'Balance Sheet'!F9)</f>
        <v>0</v>
      </c>
      <c r="G12" s="267">
        <f>-('Balance Sheet'!H9-'Balance Sheet'!G9)</f>
        <v>0</v>
      </c>
      <c r="H12" s="267">
        <f>-('Balance Sheet'!I9-'Balance Sheet'!H9)</f>
        <v>0</v>
      </c>
      <c r="I12" s="267">
        <f>-('Balance Sheet'!J9-'Balance Sheet'!I9)</f>
        <v>0</v>
      </c>
      <c r="J12" s="267">
        <f>-('Balance Sheet'!K9-'Balance Sheet'!J9)</f>
        <v>0</v>
      </c>
      <c r="K12" s="267">
        <f>-('Balance Sheet'!L9-'Balance Sheet'!K9)</f>
        <v>0</v>
      </c>
      <c r="L12" s="267">
        <f>-('Balance Sheet'!M9-'Balance Sheet'!L9)</f>
        <v>0</v>
      </c>
      <c r="M12" s="267">
        <f>-('Balance Sheet'!N9-'Balance Sheet'!M9)</f>
        <v>-18</v>
      </c>
      <c r="N12" s="474">
        <f t="shared" si="0"/>
        <v>-18</v>
      </c>
      <c r="O12" s="267">
        <f>-('Balance Sheet'!O9-'Balance Sheet'!N9)</f>
        <v>-12</v>
      </c>
      <c r="P12" s="267">
        <f>-('Balance Sheet'!P9-'Balance Sheet'!O9)</f>
        <v>-15</v>
      </c>
      <c r="Q12" s="267">
        <f>-('Balance Sheet'!Q9-'Balance Sheet'!P9)</f>
        <v>-16</v>
      </c>
      <c r="R12" s="267">
        <f>-('Balance Sheet'!R9-'Balance Sheet'!Q9)</f>
        <v>-16</v>
      </c>
    </row>
    <row r="13" spans="1:18" ht="15.75" customHeight="1">
      <c r="A13" s="39" t="s">
        <v>553</v>
      </c>
      <c r="B13" s="268">
        <f>-('Balance Sheet'!C23-'Balance Sheet'!B23)</f>
        <v>0</v>
      </c>
      <c r="C13" s="268">
        <f>-('Balance Sheet'!D23-'Balance Sheet'!C23)</f>
        <v>0</v>
      </c>
      <c r="D13" s="268">
        <f>-('Balance Sheet'!E23-'Balance Sheet'!D23)</f>
        <v>0</v>
      </c>
      <c r="E13" s="268">
        <f>-('Balance Sheet'!F23-'Balance Sheet'!E23)</f>
        <v>0</v>
      </c>
      <c r="F13" s="268">
        <f>-('Balance Sheet'!G23-'Balance Sheet'!F23)</f>
        <v>0</v>
      </c>
      <c r="G13" s="268">
        <f>-('Balance Sheet'!H23-'Balance Sheet'!G23)</f>
        <v>0</v>
      </c>
      <c r="H13" s="268">
        <f>-('Balance Sheet'!I23-'Balance Sheet'!H23)</f>
        <v>0</v>
      </c>
      <c r="I13" s="268">
        <f>-('Balance Sheet'!J23-'Balance Sheet'!I23)</f>
        <v>0</v>
      </c>
      <c r="J13" s="268">
        <f>-('Balance Sheet'!K23-'Balance Sheet'!J23)</f>
        <v>0</v>
      </c>
      <c r="K13" s="268">
        <f>-('Balance Sheet'!L23-'Balance Sheet'!K23)</f>
        <v>0</v>
      </c>
      <c r="L13" s="268">
        <f>-('Balance Sheet'!M23-'Balance Sheet'!L23)</f>
        <v>0</v>
      </c>
      <c r="M13" s="268">
        <f>-('Balance Sheet'!N23-'Balance Sheet'!M23)</f>
        <v>0</v>
      </c>
      <c r="N13" s="475">
        <f t="shared" si="0"/>
        <v>0</v>
      </c>
      <c r="O13" s="268">
        <f>-('Balance Sheet'!O23-'Balance Sheet'!N23)</f>
        <v>-37</v>
      </c>
      <c r="P13" s="268">
        <f>-('Balance Sheet'!P23-'Balance Sheet'!O23)</f>
        <v>-17</v>
      </c>
      <c r="Q13" s="268">
        <f>-('Balance Sheet'!Q23-'Balance Sheet'!P23)</f>
        <v>-20</v>
      </c>
      <c r="R13" s="268">
        <f>-('Balance Sheet'!R23-'Balance Sheet'!Q23)</f>
        <v>-20</v>
      </c>
    </row>
    <row r="14" spans="1:18" ht="16.5" customHeight="1">
      <c r="A14" s="65" t="s">
        <v>554</v>
      </c>
      <c r="B14" s="269">
        <f t="shared" ref="B14:R14" si="1">SUM(B7:B13)</f>
        <v>-306</v>
      </c>
      <c r="C14" s="269">
        <f t="shared" si="1"/>
        <v>25</v>
      </c>
      <c r="D14" s="269">
        <f t="shared" si="1"/>
        <v>-60</v>
      </c>
      <c r="E14" s="269">
        <f t="shared" si="1"/>
        <v>-63</v>
      </c>
      <c r="F14" s="269">
        <f t="shared" si="1"/>
        <v>-77</v>
      </c>
      <c r="G14" s="269">
        <f t="shared" si="1"/>
        <v>-46</v>
      </c>
      <c r="H14" s="269">
        <f t="shared" si="1"/>
        <v>-48</v>
      </c>
      <c r="I14" s="269">
        <f t="shared" si="1"/>
        <v>-23</v>
      </c>
      <c r="J14" s="269">
        <f t="shared" si="1"/>
        <v>59</v>
      </c>
      <c r="K14" s="269">
        <f t="shared" si="1"/>
        <v>91</v>
      </c>
      <c r="L14" s="269">
        <f t="shared" si="1"/>
        <v>134</v>
      </c>
      <c r="M14" s="473">
        <f t="shared" si="1"/>
        <v>1</v>
      </c>
      <c r="N14" s="442">
        <f t="shared" si="1"/>
        <v>-313</v>
      </c>
      <c r="O14" s="269">
        <f t="shared" si="1"/>
        <v>-326</v>
      </c>
      <c r="P14" s="269">
        <f t="shared" si="1"/>
        <v>-145</v>
      </c>
      <c r="Q14" s="269">
        <f t="shared" si="1"/>
        <v>-158</v>
      </c>
      <c r="R14" s="269">
        <f t="shared" si="1"/>
        <v>-187</v>
      </c>
    </row>
    <row r="15" spans="1:18" ht="15.75" customHeight="1">
      <c r="A15" s="45" t="s">
        <v>555</v>
      </c>
      <c r="B15" s="270">
        <f t="shared" ref="B15:R15" si="2">B4+B5+B14</f>
        <v>-265.48477790689111</v>
      </c>
      <c r="C15" s="270">
        <f t="shared" si="2"/>
        <v>67.736746075861745</v>
      </c>
      <c r="D15" s="270">
        <f t="shared" si="2"/>
        <v>-3.7603831146864337</v>
      </c>
      <c r="E15" s="270">
        <f t="shared" si="2"/>
        <v>8.3306791075343085</v>
      </c>
      <c r="F15" s="270">
        <f t="shared" si="2"/>
        <v>5.3609799052148048</v>
      </c>
      <c r="G15" s="270">
        <f t="shared" si="2"/>
        <v>43.788677415138437</v>
      </c>
      <c r="H15" s="270">
        <f t="shared" si="2"/>
        <v>48.009853097192632</v>
      </c>
      <c r="I15" s="270">
        <f t="shared" si="2"/>
        <v>69.762214554844633</v>
      </c>
      <c r="J15" s="270">
        <f t="shared" si="2"/>
        <v>134.99148698957043</v>
      </c>
      <c r="K15" s="270">
        <f t="shared" si="2"/>
        <v>140.44786960551642</v>
      </c>
      <c r="L15" s="270">
        <f t="shared" si="2"/>
        <v>161.04835131770042</v>
      </c>
      <c r="M15" s="270">
        <f t="shared" si="2"/>
        <v>25.230545496334365</v>
      </c>
      <c r="N15" s="476">
        <f t="shared" si="2"/>
        <v>468.44245119764776</v>
      </c>
      <c r="O15" s="270">
        <f t="shared" si="2"/>
        <v>912.42730678395424</v>
      </c>
      <c r="P15" s="270">
        <f t="shared" si="2"/>
        <v>1747.4932339200573</v>
      </c>
      <c r="Q15" s="270">
        <f t="shared" si="2"/>
        <v>2455.5411482205864</v>
      </c>
      <c r="R15" s="270">
        <f t="shared" si="2"/>
        <v>3155.9931809328846</v>
      </c>
    </row>
    <row r="16" spans="1:18" ht="15.75" customHeight="1">
      <c r="A16" s="45"/>
      <c r="B16" s="271"/>
      <c r="C16" s="271"/>
      <c r="D16" s="271"/>
      <c r="E16" s="271"/>
      <c r="F16" s="271"/>
      <c r="G16" s="271"/>
      <c r="H16" s="271"/>
      <c r="I16" s="271"/>
      <c r="J16" s="271"/>
      <c r="K16" s="271"/>
      <c r="L16" s="271"/>
      <c r="M16" s="271"/>
      <c r="N16" s="477"/>
      <c r="O16" s="271"/>
      <c r="P16" s="271"/>
      <c r="Q16" s="271"/>
      <c r="R16" s="271"/>
    </row>
    <row r="17" spans="1:18" ht="15.75" customHeight="1">
      <c r="A17" s="64" t="s">
        <v>556</v>
      </c>
      <c r="B17" s="272"/>
      <c r="C17" s="272"/>
      <c r="D17" s="272"/>
      <c r="E17" s="272"/>
      <c r="F17" s="272"/>
      <c r="G17" s="272"/>
      <c r="H17" s="272"/>
      <c r="I17" s="272"/>
      <c r="J17" s="272"/>
      <c r="K17" s="272"/>
      <c r="L17" s="272"/>
      <c r="M17" s="272"/>
      <c r="N17" s="478"/>
      <c r="O17" s="272"/>
      <c r="P17" s="272"/>
      <c r="Q17" s="272"/>
      <c r="R17" s="272"/>
    </row>
    <row r="18" spans="1:18" ht="15.75" customHeight="1">
      <c r="A18" s="65" t="s">
        <v>557</v>
      </c>
      <c r="B18" s="273">
        <f>-Assumptions!$C$63/12</f>
        <v>-85.083333333333329</v>
      </c>
      <c r="C18" s="273">
        <f>-Assumptions!$C$63/12</f>
        <v>-85.083333333333329</v>
      </c>
      <c r="D18" s="273">
        <f>-Assumptions!$C$63/12</f>
        <v>-85.083333333333329</v>
      </c>
      <c r="E18" s="273">
        <f>-Assumptions!$C$63/12</f>
        <v>-85.083333333333329</v>
      </c>
      <c r="F18" s="273">
        <f>-Assumptions!$C$63/12</f>
        <v>-85.083333333333329</v>
      </c>
      <c r="G18" s="273">
        <f>-Assumptions!$C$63/12</f>
        <v>-85.083333333333329</v>
      </c>
      <c r="H18" s="273">
        <f>-Assumptions!$C$63/12</f>
        <v>-85.083333333333329</v>
      </c>
      <c r="I18" s="273">
        <f>-Assumptions!$C$63/12</f>
        <v>-85.083333333333329</v>
      </c>
      <c r="J18" s="273">
        <f>-Assumptions!$C$63/12</f>
        <v>-85.083333333333329</v>
      </c>
      <c r="K18" s="273">
        <f>-Assumptions!$C$63/12</f>
        <v>-85.083333333333329</v>
      </c>
      <c r="L18" s="273">
        <f>-Assumptions!$C$63/12</f>
        <v>-85.083333333333329</v>
      </c>
      <c r="M18" s="273">
        <f>-Assumptions!$C$63/12</f>
        <v>-85.083333333333329</v>
      </c>
      <c r="N18" s="479">
        <f>SUM(B18:M18)</f>
        <v>-1021.0000000000001</v>
      </c>
      <c r="O18" s="273">
        <f>-Assumptions!D63</f>
        <v>-686</v>
      </c>
      <c r="P18" s="273">
        <f>-Assumptions!E63</f>
        <v>-821</v>
      </c>
      <c r="Q18" s="273">
        <f>-Assumptions!F63</f>
        <v>-934</v>
      </c>
      <c r="R18" s="273">
        <f>-Assumptions!G63</f>
        <v>-889</v>
      </c>
    </row>
    <row r="19" spans="1:18" ht="15.75" customHeight="1">
      <c r="A19" s="65" t="s">
        <v>558</v>
      </c>
      <c r="B19" s="239">
        <f>-Assumptions!$C$64/12</f>
        <v>-10.416666666666666</v>
      </c>
      <c r="C19" s="239">
        <f>-Assumptions!$C$64/12</f>
        <v>-10.416666666666666</v>
      </c>
      <c r="D19" s="239">
        <f>-Assumptions!$C$64/12</f>
        <v>-10.416666666666666</v>
      </c>
      <c r="E19" s="239">
        <f>-Assumptions!$C$64/12</f>
        <v>-10.416666666666666</v>
      </c>
      <c r="F19" s="239">
        <f>-Assumptions!$C$64/12</f>
        <v>-10.416666666666666</v>
      </c>
      <c r="G19" s="239">
        <f>-Assumptions!$C$64/12</f>
        <v>-10.416666666666666</v>
      </c>
      <c r="H19" s="239">
        <f>-Assumptions!$C$64/12</f>
        <v>-10.416666666666666</v>
      </c>
      <c r="I19" s="239">
        <f>-Assumptions!$C$64/12</f>
        <v>-10.416666666666666</v>
      </c>
      <c r="J19" s="239">
        <f>-Assumptions!$C$64/12</f>
        <v>-10.416666666666666</v>
      </c>
      <c r="K19" s="239">
        <f>-Assumptions!$C$64/12</f>
        <v>-10.416666666666666</v>
      </c>
      <c r="L19" s="239">
        <f>-Assumptions!$C$64/12</f>
        <v>-10.416666666666666</v>
      </c>
      <c r="M19" s="239">
        <f>-Assumptions!$C$64/12</f>
        <v>-10.416666666666666</v>
      </c>
      <c r="N19" s="474">
        <f>SUM(B19:M19)</f>
        <v>-125.00000000000001</v>
      </c>
      <c r="O19" s="239">
        <f>-Assumptions!D64</f>
        <v>-151</v>
      </c>
      <c r="P19" s="239">
        <f>-Assumptions!E64</f>
        <v>-182</v>
      </c>
      <c r="Q19" s="239">
        <f>-Assumptions!F64</f>
        <v>-217</v>
      </c>
      <c r="R19" s="239">
        <f>-Assumptions!G64</f>
        <v>-250</v>
      </c>
    </row>
    <row r="20" spans="1:18" ht="16.5" customHeight="1">
      <c r="A20" s="45" t="s">
        <v>559</v>
      </c>
      <c r="B20" s="243">
        <f t="shared" ref="B20:M20" si="3">B18+B19</f>
        <v>-95.5</v>
      </c>
      <c r="C20" s="243">
        <f t="shared" si="3"/>
        <v>-95.5</v>
      </c>
      <c r="D20" s="243">
        <f t="shared" si="3"/>
        <v>-95.5</v>
      </c>
      <c r="E20" s="243">
        <f t="shared" si="3"/>
        <v>-95.5</v>
      </c>
      <c r="F20" s="243">
        <f t="shared" si="3"/>
        <v>-95.5</v>
      </c>
      <c r="G20" s="243">
        <f t="shared" si="3"/>
        <v>-95.5</v>
      </c>
      <c r="H20" s="243">
        <f t="shared" si="3"/>
        <v>-95.5</v>
      </c>
      <c r="I20" s="243">
        <f t="shared" si="3"/>
        <v>-95.5</v>
      </c>
      <c r="J20" s="243">
        <f t="shared" si="3"/>
        <v>-95.5</v>
      </c>
      <c r="K20" s="243">
        <f t="shared" si="3"/>
        <v>-95.5</v>
      </c>
      <c r="L20" s="243">
        <f t="shared" si="3"/>
        <v>-95.5</v>
      </c>
      <c r="M20" s="243">
        <f t="shared" si="3"/>
        <v>-95.5</v>
      </c>
      <c r="N20" s="480">
        <f>SUM(B20:M20)</f>
        <v>-1146</v>
      </c>
      <c r="O20" s="243">
        <f>O18+O19</f>
        <v>-837</v>
      </c>
      <c r="P20" s="243">
        <f>P18+P19</f>
        <v>-1003</v>
      </c>
      <c r="Q20" s="243">
        <f>Q18+Q19</f>
        <v>-1151</v>
      </c>
      <c r="R20" s="243">
        <f>R18+R19</f>
        <v>-1139</v>
      </c>
    </row>
    <row r="21" spans="1:18" ht="16.5" customHeight="1" thickBot="1">
      <c r="A21" s="107" t="s">
        <v>560</v>
      </c>
      <c r="B21" s="243">
        <v>0</v>
      </c>
      <c r="C21" s="243">
        <v>0</v>
      </c>
      <c r="D21" s="243">
        <v>0</v>
      </c>
      <c r="E21" s="243">
        <v>0</v>
      </c>
      <c r="F21" s="243">
        <v>0</v>
      </c>
      <c r="G21" s="243">
        <v>0</v>
      </c>
      <c r="H21" s="243">
        <v>0</v>
      </c>
      <c r="I21" s="243">
        <v>0</v>
      </c>
      <c r="J21" s="243">
        <v>0</v>
      </c>
      <c r="K21" s="432">
        <v>-600</v>
      </c>
      <c r="L21" s="243">
        <v>0</v>
      </c>
      <c r="M21" s="434">
        <v>0</v>
      </c>
      <c r="N21" s="481">
        <f>SUM(B21:M21)</f>
        <v>-600</v>
      </c>
      <c r="O21" s="243">
        <v>0</v>
      </c>
      <c r="P21" s="243">
        <v>0</v>
      </c>
      <c r="Q21" s="243">
        <v>0</v>
      </c>
      <c r="R21" s="243">
        <v>0</v>
      </c>
    </row>
    <row r="22" spans="1:18" ht="15.75" customHeight="1">
      <c r="A22" s="65" t="s">
        <v>561</v>
      </c>
      <c r="B22" s="270">
        <f t="shared" ref="B22:R22" si="4">B20+B21</f>
        <v>-95.5</v>
      </c>
      <c r="C22" s="270">
        <f t="shared" si="4"/>
        <v>-95.5</v>
      </c>
      <c r="D22" s="270">
        <f t="shared" si="4"/>
        <v>-95.5</v>
      </c>
      <c r="E22" s="270">
        <f t="shared" si="4"/>
        <v>-95.5</v>
      </c>
      <c r="F22" s="270">
        <f t="shared" si="4"/>
        <v>-95.5</v>
      </c>
      <c r="G22" s="270">
        <f t="shared" si="4"/>
        <v>-95.5</v>
      </c>
      <c r="H22" s="270">
        <f t="shared" si="4"/>
        <v>-95.5</v>
      </c>
      <c r="I22" s="270">
        <f t="shared" si="4"/>
        <v>-95.5</v>
      </c>
      <c r="J22" s="270">
        <f t="shared" si="4"/>
        <v>-95.5</v>
      </c>
      <c r="K22" s="270">
        <f t="shared" si="4"/>
        <v>-695.5</v>
      </c>
      <c r="L22" s="270">
        <f t="shared" si="4"/>
        <v>-95.5</v>
      </c>
      <c r="M22" s="243">
        <f t="shared" si="4"/>
        <v>-95.5</v>
      </c>
      <c r="N22" s="480">
        <f t="shared" si="4"/>
        <v>-1746</v>
      </c>
      <c r="O22" s="270">
        <f t="shared" si="4"/>
        <v>-837</v>
      </c>
      <c r="P22" s="270">
        <f t="shared" si="4"/>
        <v>-1003</v>
      </c>
      <c r="Q22" s="270">
        <f t="shared" si="4"/>
        <v>-1151</v>
      </c>
      <c r="R22" s="270">
        <f t="shared" si="4"/>
        <v>-1139</v>
      </c>
    </row>
    <row r="23" spans="1:18" ht="15.75" customHeight="1">
      <c r="A23" s="65"/>
      <c r="B23" s="239"/>
      <c r="C23" s="239"/>
      <c r="D23" s="239"/>
      <c r="E23" s="239"/>
      <c r="F23" s="239"/>
      <c r="G23" s="239"/>
      <c r="H23" s="239"/>
      <c r="I23" s="239"/>
      <c r="J23" s="239"/>
      <c r="K23" s="239"/>
      <c r="L23" s="239"/>
      <c r="M23" s="239"/>
      <c r="N23" s="474"/>
      <c r="O23" s="239"/>
      <c r="P23" s="239"/>
      <c r="Q23" s="239"/>
      <c r="R23" s="239"/>
    </row>
    <row r="24" spans="1:18" ht="15.75" customHeight="1">
      <c r="A24" s="64" t="s">
        <v>562</v>
      </c>
      <c r="B24" s="274"/>
      <c r="C24" s="274"/>
      <c r="D24" s="274"/>
      <c r="E24" s="274"/>
      <c r="F24" s="274"/>
      <c r="G24" s="274"/>
      <c r="H24" s="274"/>
      <c r="I24" s="274"/>
      <c r="J24" s="274"/>
      <c r="K24" s="274"/>
      <c r="L24" s="274"/>
      <c r="M24" s="274"/>
      <c r="N24" s="482"/>
      <c r="O24" s="274"/>
      <c r="P24" s="274"/>
      <c r="Q24" s="274"/>
      <c r="R24" s="274"/>
    </row>
    <row r="25" spans="1:18" ht="15.75" customHeight="1">
      <c r="A25" s="64" t="s">
        <v>563</v>
      </c>
      <c r="B25" s="239">
        <f>Assumptions!B79</f>
        <v>1500</v>
      </c>
      <c r="C25" s="239">
        <v>0</v>
      </c>
      <c r="D25" s="239">
        <v>0</v>
      </c>
      <c r="E25" s="239">
        <v>0</v>
      </c>
      <c r="F25" s="239">
        <v>0</v>
      </c>
      <c r="G25" s="239">
        <v>0</v>
      </c>
      <c r="H25" s="239">
        <v>0</v>
      </c>
      <c r="I25" s="239">
        <v>0</v>
      </c>
      <c r="J25" s="239">
        <v>0</v>
      </c>
      <c r="K25" s="239">
        <v>0</v>
      </c>
      <c r="L25" s="239">
        <v>0</v>
      </c>
      <c r="M25" s="239">
        <v>0</v>
      </c>
      <c r="N25" s="474">
        <f t="shared" ref="N25:N31" si="5">SUM(B25:M25)</f>
        <v>1500</v>
      </c>
      <c r="O25" s="239">
        <v>0</v>
      </c>
      <c r="P25" s="239">
        <v>0</v>
      </c>
      <c r="Q25" s="239">
        <v>0</v>
      </c>
      <c r="R25" s="239">
        <v>0</v>
      </c>
    </row>
    <row r="26" spans="1:18" ht="15.75" customHeight="1">
      <c r="A26" s="65" t="s">
        <v>564</v>
      </c>
      <c r="B26" s="239">
        <f>Assumptions!B78+Assumptions!B80</f>
        <v>1500</v>
      </c>
      <c r="C26" s="239">
        <v>0</v>
      </c>
      <c r="D26" s="239">
        <v>0</v>
      </c>
      <c r="E26" s="239">
        <v>0</v>
      </c>
      <c r="F26" s="239">
        <v>0</v>
      </c>
      <c r="G26" s="239">
        <v>0</v>
      </c>
      <c r="H26" s="239">
        <v>0</v>
      </c>
      <c r="I26" s="239">
        <v>0</v>
      </c>
      <c r="J26" s="239">
        <v>0</v>
      </c>
      <c r="K26" s="239">
        <v>0</v>
      </c>
      <c r="L26" s="239">
        <v>0</v>
      </c>
      <c r="M26" s="239">
        <v>0</v>
      </c>
      <c r="N26" s="474">
        <f t="shared" si="5"/>
        <v>1500</v>
      </c>
      <c r="O26" s="239">
        <v>0</v>
      </c>
      <c r="P26" s="239">
        <v>0</v>
      </c>
      <c r="Q26" s="239">
        <v>0</v>
      </c>
      <c r="R26" s="239">
        <v>0</v>
      </c>
    </row>
    <row r="27" spans="1:18" ht="15.75" customHeight="1">
      <c r="A27" s="65" t="s">
        <v>565</v>
      </c>
      <c r="B27" s="239">
        <v>0</v>
      </c>
      <c r="C27" s="239">
        <v>0</v>
      </c>
      <c r="D27" s="239">
        <v>0</v>
      </c>
      <c r="E27" s="239">
        <v>0</v>
      </c>
      <c r="F27" s="239">
        <f>Assumptions!$B$89+Assumptions!$B$90</f>
        <v>750</v>
      </c>
      <c r="G27" s="239">
        <v>0</v>
      </c>
      <c r="H27" s="239">
        <v>0</v>
      </c>
      <c r="I27" s="239">
        <v>0</v>
      </c>
      <c r="J27" s="239">
        <v>0</v>
      </c>
      <c r="K27" s="239">
        <v>0</v>
      </c>
      <c r="L27" s="239">
        <v>0</v>
      </c>
      <c r="M27" s="239">
        <v>0</v>
      </c>
      <c r="N27" s="474">
        <f t="shared" si="5"/>
        <v>750</v>
      </c>
      <c r="O27" s="239">
        <v>0</v>
      </c>
      <c r="P27" s="239">
        <v>0</v>
      </c>
      <c r="Q27" s="239">
        <v>0</v>
      </c>
      <c r="R27" s="239">
        <v>0</v>
      </c>
    </row>
    <row r="28" spans="1:18" ht="15.75" customHeight="1">
      <c r="A28" s="65" t="s">
        <v>566</v>
      </c>
      <c r="B28" s="239">
        <v>0</v>
      </c>
      <c r="C28" s="239">
        <v>0</v>
      </c>
      <c r="D28" s="239">
        <v>0</v>
      </c>
      <c r="E28" s="239">
        <v>0</v>
      </c>
      <c r="F28" s="239">
        <v>0</v>
      </c>
      <c r="G28" s="239">
        <v>0</v>
      </c>
      <c r="H28" s="239">
        <v>0</v>
      </c>
      <c r="I28" s="239">
        <v>0</v>
      </c>
      <c r="J28" s="239">
        <v>0</v>
      </c>
      <c r="K28" s="433">
        <v>300</v>
      </c>
      <c r="L28" s="239">
        <v>0</v>
      </c>
      <c r="M28" s="239">
        <v>0</v>
      </c>
      <c r="N28" s="483">
        <f t="shared" si="5"/>
        <v>300</v>
      </c>
      <c r="O28" s="239">
        <v>0</v>
      </c>
      <c r="P28" s="239">
        <v>0</v>
      </c>
      <c r="Q28" s="239">
        <v>0</v>
      </c>
      <c r="R28" s="239">
        <v>0</v>
      </c>
    </row>
    <row r="29" spans="1:18" ht="15.75" customHeight="1">
      <c r="A29" s="65" t="s">
        <v>567</v>
      </c>
      <c r="B29" s="239">
        <f>'Debt Schedule'!B45</f>
        <v>600</v>
      </c>
      <c r="C29" s="239">
        <f>'Debt Schedule'!C49-'Debt Schedule'!B49</f>
        <v>0</v>
      </c>
      <c r="D29" s="239">
        <f>'Debt Schedule'!D49-'Debt Schedule'!C49</f>
        <v>0</v>
      </c>
      <c r="E29" s="239">
        <f>'Debt Schedule'!E49-'Debt Schedule'!D49</f>
        <v>0</v>
      </c>
      <c r="F29" s="239">
        <f>'Debt Schedule'!F49-'Debt Schedule'!E49</f>
        <v>0</v>
      </c>
      <c r="G29" s="239">
        <f>'Debt Schedule'!G49-'Debt Schedule'!F49</f>
        <v>0</v>
      </c>
      <c r="H29" s="239">
        <f>'Debt Schedule'!H49-'Debt Schedule'!G49</f>
        <v>0</v>
      </c>
      <c r="I29" s="239">
        <f>'Debt Schedule'!I49-'Debt Schedule'!H49</f>
        <v>0</v>
      </c>
      <c r="J29" s="239">
        <f>'Debt Schedule'!J49-'Debt Schedule'!I49</f>
        <v>0</v>
      </c>
      <c r="K29" s="239">
        <f>'Debt Schedule'!K49-'Debt Schedule'!J49</f>
        <v>0</v>
      </c>
      <c r="L29" s="239">
        <f>'Debt Schedule'!L49-'Debt Schedule'!K49</f>
        <v>0</v>
      </c>
      <c r="M29" s="239">
        <f>'Debt Schedule'!M49-'Debt Schedule'!L49</f>
        <v>0</v>
      </c>
      <c r="N29" s="474">
        <f t="shared" si="5"/>
        <v>600</v>
      </c>
      <c r="O29" s="239">
        <f>'Debt Schedule'!O49-'Debt Schedule'!N49</f>
        <v>-600</v>
      </c>
      <c r="P29" s="239">
        <f>'Debt Schedule'!P49-'Debt Schedule'!O49</f>
        <v>0</v>
      </c>
      <c r="Q29" s="239">
        <f>'Debt Schedule'!Q49-'Debt Schedule'!P49</f>
        <v>0</v>
      </c>
      <c r="R29" s="239">
        <f>'Debt Schedule'!R49-'Debt Schedule'!Q49</f>
        <v>0</v>
      </c>
    </row>
    <row r="30" spans="1:18" ht="15.75" customHeight="1">
      <c r="A30" s="65" t="s">
        <v>568</v>
      </c>
      <c r="B30" s="239">
        <f>-'Debt Schedule'!B70</f>
        <v>-47.541666666666664</v>
      </c>
      <c r="C30" s="239">
        <f>-'Debt Schedule'!C70</f>
        <v>-47.84293402777778</v>
      </c>
      <c r="D30" s="239">
        <f>-'Debt Schedule'!D70</f>
        <v>-48.146134712094906</v>
      </c>
      <c r="E30" s="239">
        <f>-'Debt Schedule'!E70</f>
        <v>-48.451281274380904</v>
      </c>
      <c r="F30" s="239">
        <f>-'Debt Schedule'!F70</f>
        <v>-59.283386351825719</v>
      </c>
      <c r="G30" s="239">
        <f>-'Debt Schedule'!G70</f>
        <v>-59.653858497926308</v>
      </c>
      <c r="H30" s="239">
        <f>-'Debt Schedule'!H70</f>
        <v>-60.026672825397959</v>
      </c>
      <c r="I30" s="239">
        <f>-'Debt Schedule'!I70</f>
        <v>-60.401844311169782</v>
      </c>
      <c r="J30" s="239">
        <f>-'Debt Schedule'!J70</f>
        <v>-60.779388028993125</v>
      </c>
      <c r="K30" s="239">
        <f>-'Debt Schedule'!K70</f>
        <v>-84.642652483407332</v>
      </c>
      <c r="L30" s="239">
        <f>-'Debt Schedule'!L70</f>
        <v>-85.168555721487479</v>
      </c>
      <c r="M30" s="239">
        <f>-'Debt Schedule'!M70</f>
        <v>-85.697763863577762</v>
      </c>
      <c r="N30" s="474">
        <f t="shared" si="5"/>
        <v>-747.63613876470572</v>
      </c>
      <c r="O30" s="239">
        <f>-'Debt Schedule'!O70</f>
        <v>-1034.763575049207</v>
      </c>
      <c r="P30" s="239">
        <f>-'Debt Schedule'!P70</f>
        <v>-844.52970906433143</v>
      </c>
      <c r="Q30" s="239">
        <f>-'Debt Schedule'!Q70</f>
        <v>-792.36739282983501</v>
      </c>
      <c r="R30" s="239">
        <f>-'Debt Schedule'!R70</f>
        <v>-853.63793373647059</v>
      </c>
    </row>
    <row r="31" spans="1:18" ht="15.75" customHeight="1">
      <c r="A31" s="65" t="s">
        <v>569</v>
      </c>
      <c r="B31" s="239">
        <f>-'Balance Sheet'!C44</f>
        <v>-0.15136998837979854</v>
      </c>
      <c r="C31" s="239">
        <f>-'Balance Sheet'!D44</f>
        <v>-0.3513071468275572</v>
      </c>
      <c r="D31" s="239">
        <f>-'Balance Sheet'!E44</f>
        <v>-1.5665655196782204</v>
      </c>
      <c r="E31" s="239">
        <f>-'Balance Sheet'!F44</f>
        <v>-2.9247611196780881</v>
      </c>
      <c r="F31" s="239">
        <f>-'Balance Sheet'!G44</f>
        <v>-3.9174881914693329</v>
      </c>
      <c r="G31" s="239">
        <f>-'Balance Sheet'!H44</f>
        <v>-4.5859809673624596</v>
      </c>
      <c r="H31" s="239">
        <f>-'Balance Sheet'!I44</f>
        <v>-5.1458867787473359</v>
      </c>
      <c r="I31" s="239">
        <f>-'Balance Sheet'!J44</f>
        <v>-4.8535993099360155</v>
      </c>
      <c r="J31" s="239">
        <f>-'Balance Sheet'!K44</f>
        <v>-3.3442338290613378</v>
      </c>
      <c r="K31" s="239">
        <f>-'Balance Sheet'!L44</f>
        <v>-0.95530826449647643</v>
      </c>
      <c r="L31" s="239">
        <f>-'Balance Sheet'!M44</f>
        <v>0</v>
      </c>
      <c r="M31" s="239">
        <f>-'Balance Sheet'!N44</f>
        <v>0</v>
      </c>
      <c r="N31" s="474">
        <f t="shared" si="5"/>
        <v>-27.796501115636623</v>
      </c>
      <c r="O31" s="239">
        <f>-'Balance Sheet'!O44</f>
        <v>-47.198457610555877</v>
      </c>
      <c r="P31" s="239">
        <f>-'Balance Sheet'!P44</f>
        <v>-88.064391052805149</v>
      </c>
      <c r="Q31" s="239">
        <f>-'Balance Sheet'!Q44</f>
        <v>-132.25870333985279</v>
      </c>
      <c r="R31" s="239">
        <f>-'Balance Sheet'!R44</f>
        <v>-177.3893862839596</v>
      </c>
    </row>
    <row r="32" spans="1:18" ht="16.5" customHeight="1">
      <c r="A32" s="65" t="s">
        <v>570</v>
      </c>
      <c r="B32" s="275">
        <f t="shared" ref="B32:R32" si="6">SUM(B25:B31)</f>
        <v>3552.3069633449536</v>
      </c>
      <c r="C32" s="275">
        <f t="shared" si="6"/>
        <v>-48.194241174605338</v>
      </c>
      <c r="D32" s="275">
        <f t="shared" si="6"/>
        <v>-49.712700231773127</v>
      </c>
      <c r="E32" s="275">
        <f t="shared" si="6"/>
        <v>-51.376042394058992</v>
      </c>
      <c r="F32" s="275">
        <f t="shared" si="6"/>
        <v>686.79912545670493</v>
      </c>
      <c r="G32" s="275">
        <f t="shared" si="6"/>
        <v>-64.239839465288767</v>
      </c>
      <c r="H32" s="275">
        <f t="shared" si="6"/>
        <v>-65.172559604145292</v>
      </c>
      <c r="I32" s="275">
        <f t="shared" si="6"/>
        <v>-65.255443621105798</v>
      </c>
      <c r="J32" s="275">
        <f t="shared" si="6"/>
        <v>-64.123621858054463</v>
      </c>
      <c r="K32" s="275">
        <f t="shared" si="6"/>
        <v>214.40203925209619</v>
      </c>
      <c r="L32" s="275">
        <f t="shared" si="6"/>
        <v>-85.168555721487479</v>
      </c>
      <c r="M32" s="275">
        <f t="shared" si="6"/>
        <v>-85.697763863577762</v>
      </c>
      <c r="N32" s="444">
        <f t="shared" si="6"/>
        <v>3874.5673601196577</v>
      </c>
      <c r="O32" s="275">
        <f t="shared" si="6"/>
        <v>-1681.9620326597628</v>
      </c>
      <c r="P32" s="275">
        <f t="shared" si="6"/>
        <v>-932.59410011713658</v>
      </c>
      <c r="Q32" s="275">
        <f t="shared" si="6"/>
        <v>-924.6260961696878</v>
      </c>
      <c r="R32" s="275">
        <f t="shared" si="6"/>
        <v>-1031.0273200204301</v>
      </c>
    </row>
    <row r="33" spans="1:18" ht="15.75" customHeight="1">
      <c r="A33" s="45"/>
      <c r="B33" s="271"/>
      <c r="C33" s="271"/>
      <c r="D33" s="271"/>
      <c r="E33" s="271"/>
      <c r="F33" s="271"/>
      <c r="G33" s="271"/>
      <c r="H33" s="271"/>
      <c r="I33" s="271"/>
      <c r="J33" s="271"/>
      <c r="K33" s="271"/>
      <c r="L33" s="271"/>
      <c r="M33" s="271"/>
      <c r="N33" s="477"/>
      <c r="O33" s="271"/>
      <c r="P33" s="271"/>
      <c r="Q33" s="271"/>
      <c r="R33" s="271"/>
    </row>
    <row r="34" spans="1:18" ht="15.75" customHeight="1">
      <c r="A34" s="45" t="s">
        <v>571</v>
      </c>
      <c r="B34" s="242">
        <f t="shared" ref="B34:R34" si="7">B15+B22+B32</f>
        <v>3191.3221854380627</v>
      </c>
      <c r="C34" s="242">
        <f t="shared" si="7"/>
        <v>-75.957495098743593</v>
      </c>
      <c r="D34" s="242">
        <f t="shared" si="7"/>
        <v>-148.97308334645956</v>
      </c>
      <c r="E34" s="242">
        <f t="shared" si="7"/>
        <v>-138.54536328652469</v>
      </c>
      <c r="F34" s="242">
        <f t="shared" si="7"/>
        <v>596.6601053619197</v>
      </c>
      <c r="G34" s="242">
        <f t="shared" si="7"/>
        <v>-115.95116205015033</v>
      </c>
      <c r="H34" s="242">
        <f t="shared" si="7"/>
        <v>-112.66270650695266</v>
      </c>
      <c r="I34" s="242">
        <f t="shared" si="7"/>
        <v>-90.993229066261165</v>
      </c>
      <c r="J34" s="242">
        <f t="shared" si="7"/>
        <v>-24.63213486848403</v>
      </c>
      <c r="K34" s="242">
        <f t="shared" si="7"/>
        <v>-340.6500911423874</v>
      </c>
      <c r="L34" s="242">
        <f t="shared" si="7"/>
        <v>-19.620204403787056</v>
      </c>
      <c r="M34" s="242">
        <f t="shared" si="7"/>
        <v>-155.96721836724339</v>
      </c>
      <c r="N34" s="484">
        <f t="shared" si="7"/>
        <v>2597.0098113173053</v>
      </c>
      <c r="O34" s="242">
        <f t="shared" si="7"/>
        <v>-1606.5347258758086</v>
      </c>
      <c r="P34" s="242">
        <f t="shared" si="7"/>
        <v>-188.10086619707931</v>
      </c>
      <c r="Q34" s="242">
        <f t="shared" si="7"/>
        <v>379.91505205089857</v>
      </c>
      <c r="R34" s="242">
        <f t="shared" si="7"/>
        <v>985.96586091245445</v>
      </c>
    </row>
    <row r="35" spans="1:18" ht="15.75" customHeight="1">
      <c r="A35" s="45" t="s">
        <v>572</v>
      </c>
      <c r="B35" s="243">
        <f>'Balance Sheet'!B5</f>
        <v>34</v>
      </c>
      <c r="C35" s="243">
        <f t="shared" ref="C35:M35" si="8">B36</f>
        <v>3225.3221854380627</v>
      </c>
      <c r="D35" s="243">
        <f t="shared" si="8"/>
        <v>3149.3646903393192</v>
      </c>
      <c r="E35" s="243">
        <f t="shared" si="8"/>
        <v>3000.3916069928596</v>
      </c>
      <c r="F35" s="243">
        <f t="shared" si="8"/>
        <v>2861.8462437063349</v>
      </c>
      <c r="G35" s="243">
        <f t="shared" si="8"/>
        <v>3458.5063490682546</v>
      </c>
      <c r="H35" s="243">
        <f t="shared" si="8"/>
        <v>3342.5551870181043</v>
      </c>
      <c r="I35" s="243">
        <f t="shared" si="8"/>
        <v>3229.8924805111515</v>
      </c>
      <c r="J35" s="243">
        <f t="shared" si="8"/>
        <v>3138.8992514448901</v>
      </c>
      <c r="K35" s="243">
        <f t="shared" si="8"/>
        <v>3114.2671165764059</v>
      </c>
      <c r="L35" s="243">
        <f t="shared" si="8"/>
        <v>2773.6170254340186</v>
      </c>
      <c r="M35" s="243">
        <f t="shared" si="8"/>
        <v>2753.9968210302313</v>
      </c>
      <c r="N35" s="480">
        <f>B35</f>
        <v>34</v>
      </c>
      <c r="O35" s="243">
        <f>N36</f>
        <v>2631.0098113173053</v>
      </c>
      <c r="P35" s="243">
        <f>O36</f>
        <v>1024.4750854414967</v>
      </c>
      <c r="Q35" s="243">
        <f>P36</f>
        <v>836.37421924441742</v>
      </c>
      <c r="R35" s="243">
        <f>Q36</f>
        <v>1216.289271295316</v>
      </c>
    </row>
    <row r="36" spans="1:18" ht="15.75" customHeight="1">
      <c r="A36" s="276" t="s">
        <v>573</v>
      </c>
      <c r="B36" s="277">
        <f t="shared" ref="B36:R36" si="9">B35+B34</f>
        <v>3225.3221854380627</v>
      </c>
      <c r="C36" s="277">
        <f t="shared" si="9"/>
        <v>3149.3646903393192</v>
      </c>
      <c r="D36" s="277">
        <f t="shared" si="9"/>
        <v>3000.3916069928596</v>
      </c>
      <c r="E36" s="277">
        <f t="shared" si="9"/>
        <v>2861.8462437063349</v>
      </c>
      <c r="F36" s="277">
        <f t="shared" si="9"/>
        <v>3458.5063490682546</v>
      </c>
      <c r="G36" s="277">
        <f t="shared" si="9"/>
        <v>3342.5551870181043</v>
      </c>
      <c r="H36" s="277">
        <f t="shared" si="9"/>
        <v>3229.8924805111515</v>
      </c>
      <c r="I36" s="277">
        <f t="shared" si="9"/>
        <v>3138.8992514448901</v>
      </c>
      <c r="J36" s="277">
        <f t="shared" si="9"/>
        <v>3114.2671165764059</v>
      </c>
      <c r="K36" s="277">
        <f t="shared" si="9"/>
        <v>2773.6170254340186</v>
      </c>
      <c r="L36" s="277">
        <f t="shared" si="9"/>
        <v>2753.9968210302313</v>
      </c>
      <c r="M36" s="277">
        <f t="shared" si="9"/>
        <v>2598.0296026629881</v>
      </c>
      <c r="N36" s="485">
        <f t="shared" si="9"/>
        <v>2631.0098113173053</v>
      </c>
      <c r="O36" s="277">
        <f t="shared" si="9"/>
        <v>1024.4750854414967</v>
      </c>
      <c r="P36" s="277">
        <f t="shared" si="9"/>
        <v>836.37421924441742</v>
      </c>
      <c r="Q36" s="277">
        <f t="shared" si="9"/>
        <v>1216.289271295316</v>
      </c>
      <c r="R36" s="277">
        <f t="shared" si="9"/>
        <v>2202.2551322077707</v>
      </c>
    </row>
    <row r="37" spans="1:18" ht="16.5" customHeight="1">
      <c r="A37" s="241"/>
      <c r="B37" s="278"/>
      <c r="C37" s="278"/>
      <c r="D37" s="278"/>
      <c r="E37" s="278"/>
      <c r="F37" s="278"/>
      <c r="G37" s="278"/>
      <c r="H37" s="278"/>
      <c r="I37" s="278"/>
      <c r="J37" s="278"/>
      <c r="K37" s="278"/>
      <c r="L37" s="278"/>
      <c r="M37" s="278"/>
      <c r="N37" s="486"/>
      <c r="O37" s="278"/>
      <c r="P37" s="278"/>
      <c r="Q37" s="278"/>
      <c r="R37" s="278"/>
    </row>
    <row r="38" spans="1:18" ht="16.5" customHeight="1">
      <c r="A38" s="276" t="s">
        <v>574</v>
      </c>
      <c r="B38" s="279">
        <f>B36-'Balance Sheet'!C5</f>
        <v>0</v>
      </c>
      <c r="C38" s="279">
        <f>C36-'Balance Sheet'!D5</f>
        <v>0</v>
      </c>
      <c r="D38" s="279">
        <f>D36-'Balance Sheet'!E5</f>
        <v>0</v>
      </c>
      <c r="E38" s="279">
        <f>E36-'Balance Sheet'!F5</f>
        <v>0</v>
      </c>
      <c r="F38" s="279">
        <f>F36-'Balance Sheet'!G5</f>
        <v>0</v>
      </c>
      <c r="G38" s="279">
        <f>G36-'Balance Sheet'!H5</f>
        <v>0</v>
      </c>
      <c r="H38" s="279">
        <f>H36-'Balance Sheet'!I5</f>
        <v>0</v>
      </c>
      <c r="I38" s="279">
        <f>I36-'Balance Sheet'!J5</f>
        <v>0</v>
      </c>
      <c r="J38" s="279">
        <f>J36-'Balance Sheet'!K5</f>
        <v>1991.8200000000002</v>
      </c>
      <c r="K38" s="279">
        <f>K36-'Balance Sheet'!L5</f>
        <v>-8.1800000000007458</v>
      </c>
      <c r="L38" s="279">
        <f>L36-'Balance Sheet'!M5</f>
        <v>-8.1799999999998363</v>
      </c>
      <c r="M38" s="279">
        <f>M36-'Balance Sheet'!N5</f>
        <v>-32.980208654317266</v>
      </c>
      <c r="N38" s="487">
        <f>N36-'Balance Sheet'!N5</f>
        <v>0</v>
      </c>
      <c r="O38" s="279">
        <f>O36-'Balance Sheet'!O5</f>
        <v>0</v>
      </c>
      <c r="P38" s="279">
        <f>P36-'Balance Sheet'!P5</f>
        <v>0</v>
      </c>
      <c r="Q38" s="279">
        <f>Q36-'Balance Sheet'!Q5</f>
        <v>0</v>
      </c>
      <c r="R38" s="279">
        <f>R36-'Balance Sheet'!R5</f>
        <v>0</v>
      </c>
    </row>
    <row r="39" spans="1:18" ht="15.75" customHeight="1">
      <c r="A39" s="15" t="s">
        <v>575</v>
      </c>
      <c r="B39" s="15"/>
      <c r="C39" s="15"/>
      <c r="D39" s="15"/>
      <c r="E39" s="15"/>
      <c r="F39" s="15"/>
      <c r="G39" s="15"/>
      <c r="H39" s="15"/>
      <c r="I39" s="15"/>
      <c r="J39" s="15"/>
      <c r="K39" s="15"/>
      <c r="L39" s="15"/>
      <c r="M39" s="15"/>
      <c r="N39" s="488"/>
      <c r="O39" s="15"/>
      <c r="P39" s="15"/>
      <c r="Q39" s="15"/>
      <c r="R39" s="15"/>
    </row>
  </sheetData>
  <mergeCells count="1">
    <mergeCell ref="A1:R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R103"/>
  <sheetViews>
    <sheetView zoomScaleNormal="100" workbookViewId="0">
      <pane xSplit="1" ySplit="2" topLeftCell="B3" activePane="bottomRight" state="frozen"/>
      <selection pane="topRight"/>
      <selection pane="bottomLeft"/>
      <selection pane="bottomRight" activeCell="N53" sqref="N53"/>
    </sheetView>
  </sheetViews>
  <sheetFormatPr baseColWidth="10" defaultColWidth="11" defaultRowHeight="15.75" customHeight="1"/>
  <cols>
    <col min="1" max="1" width="23" customWidth="1"/>
  </cols>
  <sheetData>
    <row r="1" spans="1:18" ht="16.5" customHeight="1">
      <c r="A1" s="1" t="s">
        <v>576</v>
      </c>
      <c r="B1" s="1"/>
      <c r="C1" s="1"/>
      <c r="D1" s="1"/>
      <c r="E1" s="1"/>
      <c r="F1" s="1"/>
      <c r="G1" s="1"/>
      <c r="H1" s="1"/>
      <c r="I1" s="1"/>
      <c r="J1" s="1"/>
      <c r="K1" s="1"/>
      <c r="L1" s="1"/>
      <c r="M1" s="1"/>
      <c r="N1" s="436"/>
      <c r="O1" s="1"/>
      <c r="P1" s="1"/>
      <c r="Q1" s="1"/>
      <c r="R1" s="1"/>
    </row>
    <row r="2" spans="1:18" ht="15.75" customHeight="1">
      <c r="A2" s="247"/>
      <c r="B2" s="246">
        <v>46048</v>
      </c>
      <c r="C2" s="246">
        <v>46079</v>
      </c>
      <c r="D2" s="246">
        <v>46107</v>
      </c>
      <c r="E2" s="246">
        <v>46138</v>
      </c>
      <c r="F2" s="246">
        <v>46168</v>
      </c>
      <c r="G2" s="246">
        <v>46199</v>
      </c>
      <c r="H2" s="246">
        <v>46229</v>
      </c>
      <c r="I2" s="246">
        <v>46260</v>
      </c>
      <c r="J2" s="246">
        <v>46291</v>
      </c>
      <c r="K2" s="246">
        <v>46321</v>
      </c>
      <c r="L2" s="246">
        <v>46352</v>
      </c>
      <c r="M2" s="246">
        <v>46382</v>
      </c>
      <c r="N2" s="437" t="s">
        <v>512</v>
      </c>
      <c r="O2" s="69" t="s">
        <v>2</v>
      </c>
      <c r="P2" s="69" t="s">
        <v>3</v>
      </c>
      <c r="Q2" s="69" t="s">
        <v>4</v>
      </c>
      <c r="R2" s="69" t="s">
        <v>5</v>
      </c>
    </row>
    <row r="3" spans="1:18" ht="15.75" customHeight="1">
      <c r="A3" s="64" t="s">
        <v>577</v>
      </c>
      <c r="B3" s="253"/>
      <c r="C3" s="253"/>
      <c r="D3" s="253"/>
      <c r="E3" s="253"/>
      <c r="F3" s="253"/>
      <c r="G3" s="253"/>
      <c r="H3" s="253"/>
      <c r="I3" s="253"/>
      <c r="J3" s="253"/>
      <c r="K3" s="253"/>
      <c r="L3" s="253"/>
      <c r="M3" s="253"/>
      <c r="N3" s="452"/>
      <c r="O3" s="253"/>
      <c r="P3" s="253"/>
      <c r="Q3" s="253"/>
      <c r="R3" s="253"/>
    </row>
    <row r="4" spans="1:18" ht="15.75" customHeight="1">
      <c r="A4" s="68" t="s">
        <v>578</v>
      </c>
      <c r="B4" s="283"/>
      <c r="C4" s="283"/>
      <c r="D4" s="283"/>
      <c r="E4" s="283"/>
      <c r="F4" s="283"/>
      <c r="G4" s="283"/>
      <c r="H4" s="283"/>
      <c r="I4" s="283"/>
      <c r="J4" s="283"/>
      <c r="K4" s="283"/>
      <c r="L4" s="283"/>
      <c r="M4" s="283"/>
      <c r="N4" s="489"/>
      <c r="O4" s="283"/>
      <c r="P4" s="283"/>
      <c r="Q4" s="283"/>
      <c r="R4" s="283"/>
    </row>
    <row r="5" spans="1:18" ht="15.75" customHeight="1">
      <c r="A5" s="247" t="s">
        <v>579</v>
      </c>
      <c r="B5" s="254">
        <f>Assumptions!B84</f>
        <v>440</v>
      </c>
      <c r="C5" s="254">
        <f t="shared" ref="C5:M5" si="0">B9</f>
        <v>424.7833333333333</v>
      </c>
      <c r="D5" s="254">
        <f t="shared" si="0"/>
        <v>409.48424305555551</v>
      </c>
      <c r="E5" s="254">
        <f t="shared" si="0"/>
        <v>394.10228270543979</v>
      </c>
      <c r="F5" s="254">
        <f t="shared" si="0"/>
        <v>378.63700340342757</v>
      </c>
      <c r="G5" s="254">
        <f t="shared" si="0"/>
        <v>363.08795383852947</v>
      </c>
      <c r="H5" s="254">
        <f t="shared" si="0"/>
        <v>347.45468025515481</v>
      </c>
      <c r="I5" s="254">
        <f t="shared" si="0"/>
        <v>331.73672643987021</v>
      </c>
      <c r="J5" s="254">
        <f t="shared" si="0"/>
        <v>315.93363370808618</v>
      </c>
      <c r="K5" s="254">
        <f t="shared" si="0"/>
        <v>300.04494089067163</v>
      </c>
      <c r="L5" s="254">
        <f t="shared" si="0"/>
        <v>284.07018432049608</v>
      </c>
      <c r="M5" s="254">
        <f t="shared" si="0"/>
        <v>268.00889781889879</v>
      </c>
      <c r="N5" s="449">
        <f>M5</f>
        <v>268.00889781889879</v>
      </c>
      <c r="O5" s="254">
        <f>N9</f>
        <v>251.86061268208448</v>
      </c>
      <c r="P5" s="254">
        <f>O9</f>
        <v>57.031552506419956</v>
      </c>
      <c r="Q5" s="254">
        <f>P9</f>
        <v>0</v>
      </c>
      <c r="R5" s="254">
        <f>Q9</f>
        <v>0</v>
      </c>
    </row>
    <row r="6" spans="1:18" ht="15.75" customHeight="1">
      <c r="A6" s="247" t="s">
        <v>580</v>
      </c>
      <c r="B6" s="254">
        <f>IF(B5&gt;0,Assumptions!F84,0)</f>
        <v>17.600000000000001</v>
      </c>
      <c r="C6" s="254">
        <f>IF(C5&gt;0,Assumptions!F84,0)</f>
        <v>17.600000000000001</v>
      </c>
      <c r="D6" s="254">
        <f>IF(D5&gt;0,Assumptions!F84,0)</f>
        <v>17.600000000000001</v>
      </c>
      <c r="E6" s="254">
        <f>IF(E5&gt;0,Assumptions!F84,0)</f>
        <v>17.600000000000001</v>
      </c>
      <c r="F6" s="254">
        <f>IF(F5&gt;0,Assumptions!F84,0)</f>
        <v>17.600000000000001</v>
      </c>
      <c r="G6" s="254">
        <f>IF(G5&gt;0,Assumptions!F84,0)</f>
        <v>17.600000000000001</v>
      </c>
      <c r="H6" s="254">
        <f>IF(H5&gt;0,Assumptions!F84,0)</f>
        <v>17.600000000000001</v>
      </c>
      <c r="I6" s="254">
        <f>IF(I5&gt;0,Assumptions!F84,0)</f>
        <v>17.600000000000001</v>
      </c>
      <c r="J6" s="254">
        <f>IF(J5&gt;0,Assumptions!F84,0)</f>
        <v>17.600000000000001</v>
      </c>
      <c r="K6" s="254">
        <f>IF(K5&gt;0,Assumptions!F84,0)</f>
        <v>17.600000000000001</v>
      </c>
      <c r="L6" s="254">
        <f>IF(L5&gt;0,Assumptions!F84,0)</f>
        <v>17.600000000000001</v>
      </c>
      <c r="M6" s="254">
        <f>IF(M5&gt;0,Assumptions!F84,0)</f>
        <v>17.600000000000001</v>
      </c>
      <c r="N6" s="449">
        <f>SUM(B6:M6)</f>
        <v>211.19999999999996</v>
      </c>
      <c r="O6" s="254">
        <f>IF(O5&gt;0,MIN(Assumptions!$F$84*12,O5+O5*Assumptions!$D$84),0)</f>
        <v>211.20000000000002</v>
      </c>
      <c r="P6" s="254">
        <f>IF(P5&gt;0,MIN(Assumptions!$F$84*12,P5+P5*Assumptions!$D$84),0)</f>
        <v>60.738603419337252</v>
      </c>
      <c r="Q6" s="254">
        <f>IF(Q5&gt;0,MIN(Assumptions!$F$84*12,Q5+Q5*Assumptions!$D$84),0)</f>
        <v>0</v>
      </c>
      <c r="R6" s="254">
        <f>IF(R5&gt;0,MIN(Assumptions!$F$84*12,R5+R5*Assumptions!$D$84),0)</f>
        <v>0</v>
      </c>
    </row>
    <row r="7" spans="1:18" ht="15.75" customHeight="1">
      <c r="A7" s="418" t="s">
        <v>581</v>
      </c>
      <c r="B7" s="419">
        <f>B5*Assumptions!D84/12</f>
        <v>2.3833333333333333</v>
      </c>
      <c r="C7" s="419">
        <f>C5*Assumptions!D84/12</f>
        <v>2.3009097222222219</v>
      </c>
      <c r="D7" s="419">
        <f>D5*Assumptions!D84/12</f>
        <v>2.2180396498842589</v>
      </c>
      <c r="E7" s="419">
        <f>E5*Assumptions!D84/12</f>
        <v>2.1347206979877988</v>
      </c>
      <c r="F7" s="419">
        <f>F5*Assumptions!D84/12</f>
        <v>2.0509504351018992</v>
      </c>
      <c r="G7" s="419">
        <f>G5*Assumptions!D84/12</f>
        <v>1.9667264166253682</v>
      </c>
      <c r="H7" s="419">
        <f>H5*Assumptions!D84/12</f>
        <v>1.8820461847154222</v>
      </c>
      <c r="I7" s="419">
        <f>I5*Assumptions!D84/12</f>
        <v>1.7969072682159639</v>
      </c>
      <c r="J7" s="419">
        <f>J5*Assumptions!D84/12</f>
        <v>1.7113071825854667</v>
      </c>
      <c r="K7" s="419">
        <f>K5*Assumptions!D84/12</f>
        <v>1.6252434298244713</v>
      </c>
      <c r="L7" s="419">
        <f>L5*Assumptions!D84/12</f>
        <v>1.5387134984026873</v>
      </c>
      <c r="M7" s="419">
        <f>M5*Assumptions!D84/12</f>
        <v>1.4517148631857018</v>
      </c>
      <c r="N7" s="469">
        <f>SUM(B7:M7)</f>
        <v>23.060612682084596</v>
      </c>
      <c r="O7" s="419">
        <f>O5*Assumptions!$D$84</f>
        <v>16.37093982433549</v>
      </c>
      <c r="P7" s="419">
        <f>P5*Assumptions!$D$84</f>
        <v>3.7070509129172975</v>
      </c>
      <c r="Q7" s="419">
        <f>Q5*Assumptions!$D$84</f>
        <v>0</v>
      </c>
      <c r="R7" s="419">
        <f>R5*Assumptions!$D$84</f>
        <v>0</v>
      </c>
    </row>
    <row r="8" spans="1:18" ht="15.75" customHeight="1">
      <c r="A8" s="247" t="s">
        <v>582</v>
      </c>
      <c r="B8" s="254">
        <f t="shared" ref="B8:M8" si="1">B6-B7</f>
        <v>15.216666666666669</v>
      </c>
      <c r="C8" s="254">
        <f t="shared" si="1"/>
        <v>15.299090277777779</v>
      </c>
      <c r="D8" s="254">
        <f t="shared" si="1"/>
        <v>15.381960350115742</v>
      </c>
      <c r="E8" s="254">
        <f t="shared" si="1"/>
        <v>15.465279302012203</v>
      </c>
      <c r="F8" s="254">
        <f t="shared" si="1"/>
        <v>15.549049564898102</v>
      </c>
      <c r="G8" s="254">
        <f t="shared" si="1"/>
        <v>15.633273583374633</v>
      </c>
      <c r="H8" s="254">
        <f t="shared" si="1"/>
        <v>15.717953815284579</v>
      </c>
      <c r="I8" s="254">
        <f t="shared" si="1"/>
        <v>15.803092731784037</v>
      </c>
      <c r="J8" s="254">
        <f t="shared" si="1"/>
        <v>15.888692817414535</v>
      </c>
      <c r="K8" s="254">
        <f t="shared" si="1"/>
        <v>15.974756570175529</v>
      </c>
      <c r="L8" s="254">
        <f t="shared" si="1"/>
        <v>16.061286501597316</v>
      </c>
      <c r="M8" s="254">
        <f t="shared" si="1"/>
        <v>16.148285136814298</v>
      </c>
      <c r="N8" s="449">
        <f>SUM(B8:M8)</f>
        <v>188.13938731791544</v>
      </c>
      <c r="O8" s="254">
        <f>O6-O7</f>
        <v>194.82906017566452</v>
      </c>
      <c r="P8" s="254">
        <f>P6-P7</f>
        <v>57.031552506419956</v>
      </c>
      <c r="Q8" s="254">
        <f>Q6-Q7</f>
        <v>0</v>
      </c>
      <c r="R8" s="254">
        <f>R6-R7</f>
        <v>0</v>
      </c>
    </row>
    <row r="9" spans="1:18" ht="15.75" customHeight="1">
      <c r="A9" s="284" t="s">
        <v>583</v>
      </c>
      <c r="B9" s="346">
        <f t="shared" ref="B9:M9" si="2">MAX(B5-B8,0)</f>
        <v>424.7833333333333</v>
      </c>
      <c r="C9" s="346">
        <f t="shared" si="2"/>
        <v>409.48424305555551</v>
      </c>
      <c r="D9" s="346">
        <f t="shared" si="2"/>
        <v>394.10228270543979</v>
      </c>
      <c r="E9" s="346">
        <f t="shared" si="2"/>
        <v>378.63700340342757</v>
      </c>
      <c r="F9" s="346">
        <f t="shared" si="2"/>
        <v>363.08795383852947</v>
      </c>
      <c r="G9" s="346">
        <f t="shared" si="2"/>
        <v>347.45468025515481</v>
      </c>
      <c r="H9" s="346">
        <f t="shared" si="2"/>
        <v>331.73672643987021</v>
      </c>
      <c r="I9" s="346">
        <f t="shared" si="2"/>
        <v>315.93363370808618</v>
      </c>
      <c r="J9" s="346">
        <f t="shared" si="2"/>
        <v>300.04494089067163</v>
      </c>
      <c r="K9" s="346">
        <f t="shared" si="2"/>
        <v>284.07018432049608</v>
      </c>
      <c r="L9" s="346">
        <f t="shared" si="2"/>
        <v>268.00889781889879</v>
      </c>
      <c r="M9" s="346">
        <f t="shared" si="2"/>
        <v>251.86061268208448</v>
      </c>
      <c r="N9" s="490">
        <f>M9</f>
        <v>251.86061268208448</v>
      </c>
      <c r="O9" s="346">
        <f>MAX(O5-O8,0)</f>
        <v>57.031552506419956</v>
      </c>
      <c r="P9" s="346">
        <f>MAX(P5-P8,0)</f>
        <v>0</v>
      </c>
      <c r="Q9" s="346">
        <f>MAX(Q5-Q8,0)</f>
        <v>0</v>
      </c>
      <c r="R9" s="346">
        <f>MAX(R5-R8,0)</f>
        <v>0</v>
      </c>
    </row>
    <row r="10" spans="1:18" ht="15.75" customHeight="1">
      <c r="A10" s="284" t="s">
        <v>246</v>
      </c>
      <c r="B10" s="259"/>
      <c r="C10" s="259"/>
      <c r="D10" s="259"/>
      <c r="E10" s="259"/>
      <c r="F10" s="259"/>
      <c r="G10" s="259"/>
      <c r="H10" s="259"/>
      <c r="I10" s="259"/>
      <c r="J10" s="259"/>
      <c r="K10" s="259"/>
      <c r="L10" s="259"/>
      <c r="M10" s="259"/>
      <c r="N10" s="454"/>
      <c r="O10" s="259"/>
      <c r="P10" s="259"/>
      <c r="Q10" s="259"/>
      <c r="R10" s="259"/>
    </row>
    <row r="11" spans="1:18" ht="15.75" customHeight="1">
      <c r="A11" s="247" t="s">
        <v>579</v>
      </c>
      <c r="B11" s="254">
        <f>Assumptions!B85</f>
        <v>360</v>
      </c>
      <c r="C11" s="254">
        <f t="shared" ref="C11:M11" si="3">B15</f>
        <v>347.85</v>
      </c>
      <c r="D11" s="254">
        <f t="shared" si="3"/>
        <v>335.62406250000004</v>
      </c>
      <c r="E11" s="254">
        <f t="shared" si="3"/>
        <v>323.32171289062501</v>
      </c>
      <c r="F11" s="254">
        <f t="shared" si="3"/>
        <v>310.94247359619141</v>
      </c>
      <c r="G11" s="254">
        <f t="shared" si="3"/>
        <v>298.4858640561676</v>
      </c>
      <c r="H11" s="254">
        <f t="shared" si="3"/>
        <v>285.95140070651865</v>
      </c>
      <c r="I11" s="254">
        <f t="shared" si="3"/>
        <v>273.33859696093441</v>
      </c>
      <c r="J11" s="254">
        <f t="shared" si="3"/>
        <v>260.64696319194024</v>
      </c>
      <c r="K11" s="254">
        <f t="shared" si="3"/>
        <v>247.87600671188986</v>
      </c>
      <c r="L11" s="254">
        <f t="shared" si="3"/>
        <v>235.02523175383917</v>
      </c>
      <c r="M11" s="254">
        <f t="shared" si="3"/>
        <v>222.09413945230065</v>
      </c>
      <c r="N11" s="449">
        <f>SUM(B11:M11)</f>
        <v>3501.1564518204068</v>
      </c>
      <c r="O11" s="254">
        <f>N15</f>
        <v>209.08222782387753</v>
      </c>
      <c r="P11" s="254">
        <f>O15</f>
        <v>51.963394910668342</v>
      </c>
      <c r="Q11" s="254">
        <f>P15</f>
        <v>0</v>
      </c>
      <c r="R11" s="254">
        <f>Q15</f>
        <v>0</v>
      </c>
    </row>
    <row r="12" spans="1:18" ht="15.75" customHeight="1">
      <c r="A12" s="247" t="s">
        <v>580</v>
      </c>
      <c r="B12" s="254">
        <f>IF(B11&gt;0,Assumptions!F85,0)</f>
        <v>14.4</v>
      </c>
      <c r="C12" s="254">
        <f>IF(C11&gt;0,Assumptions!F85,0)</f>
        <v>14.4</v>
      </c>
      <c r="D12" s="254">
        <f>IF(D11&gt;0,Assumptions!F85,0)</f>
        <v>14.4</v>
      </c>
      <c r="E12" s="254">
        <f>IF(E11&gt;0,Assumptions!F85,0)</f>
        <v>14.4</v>
      </c>
      <c r="F12" s="254">
        <f>IF(F11&gt;0,Assumptions!F85,0)</f>
        <v>14.4</v>
      </c>
      <c r="G12" s="254">
        <f>IF(G11&gt;0,Assumptions!F85,0)</f>
        <v>14.4</v>
      </c>
      <c r="H12" s="254">
        <f>IF(H11&gt;0,Assumptions!F85,0)</f>
        <v>14.4</v>
      </c>
      <c r="I12" s="254">
        <f>IF(I11&gt;0,Assumptions!F85,0)</f>
        <v>14.4</v>
      </c>
      <c r="J12" s="254">
        <f>IF(J11&gt;0,Assumptions!F85,0)</f>
        <v>14.4</v>
      </c>
      <c r="K12" s="254">
        <f>IF(K11&gt;0,Assumptions!F85,0)</f>
        <v>14.4</v>
      </c>
      <c r="L12" s="254">
        <f>IF(L11&gt;0,Assumptions!F85,0)</f>
        <v>14.4</v>
      </c>
      <c r="M12" s="254">
        <f>IF(M11&gt;0,Assumptions!F85,0)</f>
        <v>14.4</v>
      </c>
      <c r="N12" s="449">
        <f>SUM(B12:M12)</f>
        <v>172.80000000000004</v>
      </c>
      <c r="O12" s="254">
        <f>IF(O11&gt;0,MIN(Assumptions!$F$85*12,O11+O11*Assumptions!$D$85),0)</f>
        <v>172.8</v>
      </c>
      <c r="P12" s="254">
        <f>IF(P11&gt;0,MIN(Assumptions!$F$85*12,P11+P11*Assumptions!$D$85),0)</f>
        <v>55.860649528968466</v>
      </c>
      <c r="Q12" s="254">
        <f>IF(Q11&gt;0,MIN(Assumptions!$F$85*12,Q11+Q11*Assumptions!$D$85),0)</f>
        <v>0</v>
      </c>
      <c r="R12" s="254">
        <f>IF(R11&gt;0,MIN(Assumptions!$F$85*12,R11+R11*Assumptions!$D$85),0)</f>
        <v>0</v>
      </c>
    </row>
    <row r="13" spans="1:18" ht="15.75" customHeight="1">
      <c r="A13" s="418" t="s">
        <v>581</v>
      </c>
      <c r="B13" s="419">
        <f>B11*Assumptions!D85/12</f>
        <v>2.25</v>
      </c>
      <c r="C13" s="419">
        <f>C11*Assumptions!D85/12</f>
        <v>2.1740625000000002</v>
      </c>
      <c r="D13" s="419">
        <f>D11*Assumptions!D85/12</f>
        <v>2.0976503906250001</v>
      </c>
      <c r="E13" s="419">
        <f>E11*Assumptions!D85/12</f>
        <v>2.0207607055664063</v>
      </c>
      <c r="F13" s="419">
        <f>F11*Assumptions!D85/12</f>
        <v>1.9433904599761964</v>
      </c>
      <c r="G13" s="419">
        <f>G11*Assumptions!D85/12</f>
        <v>1.8655366503510473</v>
      </c>
      <c r="H13" s="419">
        <f>H11*Assumptions!D85/12</f>
        <v>1.7871962544157416</v>
      </c>
      <c r="I13" s="419">
        <f>I11*Assumptions!D85/12</f>
        <v>1.7083662310058401</v>
      </c>
      <c r="J13" s="419">
        <f>J11*Assumptions!D85/12</f>
        <v>1.6290435199496265</v>
      </c>
      <c r="K13" s="419">
        <f>K11*Assumptions!D85/12</f>
        <v>1.5492250419493114</v>
      </c>
      <c r="L13" s="419">
        <f>L11*Assumptions!D85/12</f>
        <v>1.4689076984614946</v>
      </c>
      <c r="M13" s="419">
        <f>M11*Assumptions!D85/12</f>
        <v>1.388088371576879</v>
      </c>
      <c r="N13" s="469">
        <f>SUM(B13:M13)</f>
        <v>21.882227823877543</v>
      </c>
      <c r="O13" s="419">
        <f>O11*Assumptions!$D$85</f>
        <v>15.681167086790815</v>
      </c>
      <c r="P13" s="419">
        <f>P11*Assumptions!$D$85</f>
        <v>3.8972546183001255</v>
      </c>
      <c r="Q13" s="419">
        <f>Q11*Assumptions!$D$85</f>
        <v>0</v>
      </c>
      <c r="R13" s="419">
        <f>R11*Assumptions!$D$85</f>
        <v>0</v>
      </c>
    </row>
    <row r="14" spans="1:18" ht="15.75" customHeight="1">
      <c r="A14" s="247" t="s">
        <v>582</v>
      </c>
      <c r="B14" s="254">
        <f t="shared" ref="B14:M14" si="4">B12-B13</f>
        <v>12.15</v>
      </c>
      <c r="C14" s="254">
        <f t="shared" si="4"/>
        <v>12.225937500000001</v>
      </c>
      <c r="D14" s="254">
        <f t="shared" si="4"/>
        <v>12.302349609375</v>
      </c>
      <c r="E14" s="254">
        <f t="shared" si="4"/>
        <v>12.379239294433594</v>
      </c>
      <c r="F14" s="254">
        <f t="shared" si="4"/>
        <v>12.456609540023804</v>
      </c>
      <c r="G14" s="254">
        <f t="shared" si="4"/>
        <v>12.534463349648952</v>
      </c>
      <c r="H14" s="254">
        <f t="shared" si="4"/>
        <v>12.612803745584259</v>
      </c>
      <c r="I14" s="254">
        <f t="shared" si="4"/>
        <v>12.69163376899416</v>
      </c>
      <c r="J14" s="254">
        <f t="shared" si="4"/>
        <v>12.770956480050375</v>
      </c>
      <c r="K14" s="254">
        <f t="shared" si="4"/>
        <v>12.850774958050689</v>
      </c>
      <c r="L14" s="254">
        <f t="shared" si="4"/>
        <v>12.931092301538506</v>
      </c>
      <c r="M14" s="254">
        <f t="shared" si="4"/>
        <v>13.011911628423121</v>
      </c>
      <c r="N14" s="449">
        <f>SUM(B14:M14)</f>
        <v>150.91777217612247</v>
      </c>
      <c r="O14" s="254">
        <f>O12-O13</f>
        <v>157.11883291320919</v>
      </c>
      <c r="P14" s="254">
        <f>P12-P13</f>
        <v>51.963394910668342</v>
      </c>
      <c r="Q14" s="254">
        <f>Q12-Q13</f>
        <v>0</v>
      </c>
      <c r="R14" s="254">
        <f>R12-R13</f>
        <v>0</v>
      </c>
    </row>
    <row r="15" spans="1:18" ht="15.75" customHeight="1">
      <c r="A15" s="284" t="s">
        <v>583</v>
      </c>
      <c r="B15" s="346">
        <f t="shared" ref="B15:M15" si="5">MAX(B11-B14,0)</f>
        <v>347.85</v>
      </c>
      <c r="C15" s="346">
        <f t="shared" si="5"/>
        <v>335.62406250000004</v>
      </c>
      <c r="D15" s="346">
        <f t="shared" si="5"/>
        <v>323.32171289062501</v>
      </c>
      <c r="E15" s="346">
        <f t="shared" si="5"/>
        <v>310.94247359619141</v>
      </c>
      <c r="F15" s="346">
        <f t="shared" si="5"/>
        <v>298.4858640561676</v>
      </c>
      <c r="G15" s="346">
        <f t="shared" si="5"/>
        <v>285.95140070651865</v>
      </c>
      <c r="H15" s="346">
        <f t="shared" si="5"/>
        <v>273.33859696093441</v>
      </c>
      <c r="I15" s="346">
        <f t="shared" si="5"/>
        <v>260.64696319194024</v>
      </c>
      <c r="J15" s="346">
        <f t="shared" si="5"/>
        <v>247.87600671188986</v>
      </c>
      <c r="K15" s="346">
        <f t="shared" si="5"/>
        <v>235.02523175383917</v>
      </c>
      <c r="L15" s="346">
        <f t="shared" si="5"/>
        <v>222.09413945230065</v>
      </c>
      <c r="M15" s="346">
        <f t="shared" si="5"/>
        <v>209.08222782387753</v>
      </c>
      <c r="N15" s="490">
        <f>M15</f>
        <v>209.08222782387753</v>
      </c>
      <c r="O15" s="346">
        <f>MAX(O11-O14,0)</f>
        <v>51.963394910668342</v>
      </c>
      <c r="P15" s="346">
        <f>MAX(P11-P14,0)</f>
        <v>0</v>
      </c>
      <c r="Q15" s="346">
        <f>MAX(Q11-Q14,0)</f>
        <v>0</v>
      </c>
      <c r="R15" s="346">
        <f>MAX(R11-R14,0)</f>
        <v>0</v>
      </c>
    </row>
    <row r="16" spans="1:18" ht="15.75" customHeight="1">
      <c r="A16" s="247"/>
      <c r="B16" s="267"/>
      <c r="C16" s="267"/>
      <c r="D16" s="267"/>
      <c r="E16" s="267"/>
      <c r="F16" s="267"/>
      <c r="G16" s="267"/>
      <c r="H16" s="267"/>
      <c r="I16" s="267"/>
      <c r="J16" s="267"/>
      <c r="K16" s="267"/>
      <c r="L16" s="267"/>
      <c r="M16" s="267"/>
      <c r="N16" s="474"/>
      <c r="O16" s="267"/>
      <c r="P16" s="267"/>
      <c r="Q16" s="267"/>
      <c r="R16" s="267"/>
    </row>
    <row r="17" spans="1:18" ht="15.75" customHeight="1">
      <c r="A17" s="285" t="s">
        <v>584</v>
      </c>
      <c r="B17" s="267"/>
      <c r="C17" s="267"/>
      <c r="D17" s="267"/>
      <c r="E17" s="267"/>
      <c r="F17" s="267"/>
      <c r="G17" s="267"/>
      <c r="H17" s="267"/>
      <c r="I17" s="267"/>
      <c r="J17" s="267"/>
      <c r="K17" s="267"/>
      <c r="L17" s="267"/>
      <c r="M17" s="267"/>
      <c r="N17" s="474"/>
      <c r="O17" s="267"/>
      <c r="P17" s="267"/>
      <c r="Q17" s="267"/>
      <c r="R17" s="267"/>
    </row>
    <row r="18" spans="1:18" ht="15.75" customHeight="1">
      <c r="A18" s="284" t="s">
        <v>585</v>
      </c>
      <c r="B18" s="267"/>
      <c r="C18" s="267"/>
      <c r="D18" s="267"/>
      <c r="E18" s="267"/>
      <c r="F18" s="267"/>
      <c r="G18" s="267"/>
      <c r="H18" s="267"/>
      <c r="I18" s="267"/>
      <c r="J18" s="267"/>
      <c r="K18" s="267"/>
      <c r="L18" s="267"/>
      <c r="M18" s="267"/>
      <c r="N18" s="474"/>
      <c r="O18" s="267"/>
      <c r="P18" s="267"/>
      <c r="Q18" s="267"/>
      <c r="R18" s="267"/>
    </row>
    <row r="19" spans="1:18" ht="15.75" customHeight="1">
      <c r="A19" s="247" t="s">
        <v>579</v>
      </c>
      <c r="B19" s="254">
        <f>Assumptions!B78</f>
        <v>1500</v>
      </c>
      <c r="C19" s="254">
        <f t="shared" ref="C19:R19" si="6">B23</f>
        <v>1479.825</v>
      </c>
      <c r="D19" s="254">
        <f t="shared" si="6"/>
        <v>1459.50709375</v>
      </c>
      <c r="E19" s="254">
        <f t="shared" si="6"/>
        <v>1439.0452689973959</v>
      </c>
      <c r="F19" s="254">
        <f t="shared" si="6"/>
        <v>1418.4385063194607</v>
      </c>
      <c r="G19" s="254">
        <f t="shared" si="6"/>
        <v>1397.6857790725569</v>
      </c>
      <c r="H19" s="254">
        <f t="shared" si="6"/>
        <v>1376.7860533409876</v>
      </c>
      <c r="I19" s="254">
        <f t="shared" si="6"/>
        <v>1355.7382878854862</v>
      </c>
      <c r="J19" s="254">
        <f t="shared" si="6"/>
        <v>1334.5414340913417</v>
      </c>
      <c r="K19" s="254">
        <f t="shared" si="6"/>
        <v>1313.1944359161553</v>
      </c>
      <c r="L19" s="254">
        <f t="shared" si="6"/>
        <v>1291.696229837228</v>
      </c>
      <c r="M19" s="254">
        <f t="shared" si="6"/>
        <v>1270.045744798575</v>
      </c>
      <c r="N19" s="449">
        <f t="shared" si="6"/>
        <v>1248.2419021575649</v>
      </c>
      <c r="O19" s="254">
        <f t="shared" si="6"/>
        <v>1248.2419021575649</v>
      </c>
      <c r="P19" s="254">
        <f t="shared" si="6"/>
        <v>984.74246384095795</v>
      </c>
      <c r="Q19" s="254">
        <f t="shared" si="6"/>
        <v>698.84557326743936</v>
      </c>
      <c r="R19" s="254">
        <f t="shared" si="6"/>
        <v>388.64744699517166</v>
      </c>
    </row>
    <row r="20" spans="1:18" ht="15.75" customHeight="1">
      <c r="A20" s="247" t="s">
        <v>580</v>
      </c>
      <c r="B20" s="254">
        <f>ROUND(-PMT(Assumptions!$D$78/12,Assumptions!$E$78*12,Assumptions!$B$78),1)</f>
        <v>30.8</v>
      </c>
      <c r="C20" s="254">
        <f t="shared" ref="C20:M20" si="7">B20</f>
        <v>30.8</v>
      </c>
      <c r="D20" s="254">
        <f t="shared" si="7"/>
        <v>30.8</v>
      </c>
      <c r="E20" s="254">
        <f t="shared" si="7"/>
        <v>30.8</v>
      </c>
      <c r="F20" s="254">
        <f t="shared" si="7"/>
        <v>30.8</v>
      </c>
      <c r="G20" s="254">
        <f t="shared" si="7"/>
        <v>30.8</v>
      </c>
      <c r="H20" s="254">
        <f t="shared" si="7"/>
        <v>30.8</v>
      </c>
      <c r="I20" s="254">
        <f t="shared" si="7"/>
        <v>30.8</v>
      </c>
      <c r="J20" s="254">
        <f t="shared" si="7"/>
        <v>30.8</v>
      </c>
      <c r="K20" s="254">
        <f t="shared" si="7"/>
        <v>30.8</v>
      </c>
      <c r="L20" s="254">
        <f t="shared" si="7"/>
        <v>30.8</v>
      </c>
      <c r="M20" s="254">
        <f t="shared" si="7"/>
        <v>30.8</v>
      </c>
      <c r="N20" s="449">
        <f>SUM(B20:M20)</f>
        <v>369.60000000000008</v>
      </c>
      <c r="O20" s="254">
        <f>IF(O19&gt;0,B20*12,0)</f>
        <v>369.6</v>
      </c>
      <c r="P20" s="254">
        <f>IF(P19&gt;0,B20*12,0)</f>
        <v>369.6</v>
      </c>
      <c r="Q20" s="254">
        <f>IF(Q19&gt;0,B20*12,0)</f>
        <v>369.6</v>
      </c>
      <c r="R20" s="254">
        <f>IF(R19&gt;0,B20*12,0)</f>
        <v>369.6</v>
      </c>
    </row>
    <row r="21" spans="1:18" ht="15.75" customHeight="1">
      <c r="A21" s="418" t="s">
        <v>581</v>
      </c>
      <c r="B21" s="419">
        <f>B19*Assumptions!$D$78/12</f>
        <v>10.625000000000002</v>
      </c>
      <c r="C21" s="419">
        <f>C19*Assumptions!$D$78/12</f>
        <v>10.482093750000001</v>
      </c>
      <c r="D21" s="419">
        <f>D19*Assumptions!$D$78/12</f>
        <v>10.338175247395833</v>
      </c>
      <c r="E21" s="419">
        <f>E19*Assumptions!$D$78/12</f>
        <v>10.193237322064888</v>
      </c>
      <c r="F21" s="419">
        <f>F19*Assumptions!$D$78/12</f>
        <v>10.047272753096181</v>
      </c>
      <c r="G21" s="419">
        <f>G19*Assumptions!$D$78/12</f>
        <v>9.9002742684306124</v>
      </c>
      <c r="H21" s="419">
        <f>H19*Assumptions!$D$78/12</f>
        <v>9.7522345444986627</v>
      </c>
      <c r="I21" s="419">
        <f>I19*Assumptions!$D$78/12</f>
        <v>9.6031462058555288</v>
      </c>
      <c r="J21" s="419">
        <f>J19*Assumptions!$D$78/12</f>
        <v>9.4530018248136702</v>
      </c>
      <c r="K21" s="419">
        <f>K19*Assumptions!$D$78/12</f>
        <v>9.3017939210727665</v>
      </c>
      <c r="L21" s="419">
        <f>L19*Assumptions!$D$78/12</f>
        <v>9.1495149613470321</v>
      </c>
      <c r="M21" s="419">
        <f>M19*Assumptions!$D$78/12</f>
        <v>8.9961573589899064</v>
      </c>
      <c r="N21" s="469">
        <f>SUM(B21:M21)</f>
        <v>117.84190215756509</v>
      </c>
      <c r="O21" s="419">
        <f>O19*Assumptions!$D$78</f>
        <v>106.10056168339302</v>
      </c>
      <c r="P21" s="419">
        <f>P19*Assumptions!$D$78</f>
        <v>83.703109426481433</v>
      </c>
      <c r="Q21" s="419">
        <f>Q19*Assumptions!$D$78</f>
        <v>59.401873727732351</v>
      </c>
      <c r="R21" s="419">
        <f>R19*Assumptions!$D$78</f>
        <v>33.035032994589592</v>
      </c>
    </row>
    <row r="22" spans="1:18" ht="15.75" customHeight="1">
      <c r="A22" s="247" t="s">
        <v>582</v>
      </c>
      <c r="B22" s="254">
        <f t="shared" ref="B22:M22" si="8">B20-B21</f>
        <v>20.174999999999997</v>
      </c>
      <c r="C22" s="254">
        <f t="shared" si="8"/>
        <v>20.31790625</v>
      </c>
      <c r="D22" s="254">
        <f t="shared" si="8"/>
        <v>20.461824752604166</v>
      </c>
      <c r="E22" s="254">
        <f t="shared" si="8"/>
        <v>20.606762677935112</v>
      </c>
      <c r="F22" s="254">
        <f t="shared" si="8"/>
        <v>20.75272724690382</v>
      </c>
      <c r="G22" s="254">
        <f t="shared" si="8"/>
        <v>20.89972573156939</v>
      </c>
      <c r="H22" s="254">
        <f t="shared" si="8"/>
        <v>21.047765455501338</v>
      </c>
      <c r="I22" s="254">
        <f t="shared" si="8"/>
        <v>21.196853794144474</v>
      </c>
      <c r="J22" s="254">
        <f t="shared" si="8"/>
        <v>21.346998175186329</v>
      </c>
      <c r="K22" s="254">
        <f t="shared" si="8"/>
        <v>21.498206078927232</v>
      </c>
      <c r="L22" s="254">
        <f t="shared" si="8"/>
        <v>21.650485038652967</v>
      </c>
      <c r="M22" s="254">
        <f t="shared" si="8"/>
        <v>21.803842641010093</v>
      </c>
      <c r="N22" s="449">
        <f>SUM(B22:M22)</f>
        <v>251.75809784243489</v>
      </c>
      <c r="O22" s="254">
        <f>O20-O21</f>
        <v>263.49943831660698</v>
      </c>
      <c r="P22" s="254">
        <f>P20-P21</f>
        <v>285.89689057351859</v>
      </c>
      <c r="Q22" s="254">
        <f>Q20-Q21</f>
        <v>310.1981262722677</v>
      </c>
      <c r="R22" s="254">
        <f>R20-R21</f>
        <v>336.56496700541044</v>
      </c>
    </row>
    <row r="23" spans="1:18" ht="15.75" customHeight="1">
      <c r="A23" s="284" t="s">
        <v>583</v>
      </c>
      <c r="B23" s="346">
        <f t="shared" ref="B23:M23" si="9">MAX(B19-B22,0)</f>
        <v>1479.825</v>
      </c>
      <c r="C23" s="346">
        <f t="shared" si="9"/>
        <v>1459.50709375</v>
      </c>
      <c r="D23" s="346">
        <f t="shared" si="9"/>
        <v>1439.0452689973959</v>
      </c>
      <c r="E23" s="346">
        <f t="shared" si="9"/>
        <v>1418.4385063194607</v>
      </c>
      <c r="F23" s="346">
        <f t="shared" si="9"/>
        <v>1397.6857790725569</v>
      </c>
      <c r="G23" s="346">
        <f t="shared" si="9"/>
        <v>1376.7860533409876</v>
      </c>
      <c r="H23" s="346">
        <f t="shared" si="9"/>
        <v>1355.7382878854862</v>
      </c>
      <c r="I23" s="346">
        <f t="shared" si="9"/>
        <v>1334.5414340913417</v>
      </c>
      <c r="J23" s="346">
        <f t="shared" si="9"/>
        <v>1313.1944359161553</v>
      </c>
      <c r="K23" s="346">
        <f t="shared" si="9"/>
        <v>1291.696229837228</v>
      </c>
      <c r="L23" s="346">
        <f t="shared" si="9"/>
        <v>1270.045744798575</v>
      </c>
      <c r="M23" s="346">
        <f t="shared" si="9"/>
        <v>1248.2419021575649</v>
      </c>
      <c r="N23" s="490">
        <f>M23</f>
        <v>1248.2419021575649</v>
      </c>
      <c r="O23" s="346">
        <f>MAX(O19-O22,0)</f>
        <v>984.74246384095795</v>
      </c>
      <c r="P23" s="346">
        <f>MAX(P19-P22,0)</f>
        <v>698.84557326743936</v>
      </c>
      <c r="Q23" s="346">
        <f>MAX(Q19-Q22,0)</f>
        <v>388.64744699517166</v>
      </c>
      <c r="R23" s="346">
        <f>MAX(R19-R22,0)</f>
        <v>52.082479989761225</v>
      </c>
    </row>
    <row r="24" spans="1:18" ht="15.75" customHeight="1">
      <c r="A24" s="68" t="s">
        <v>586</v>
      </c>
      <c r="B24" s="347"/>
      <c r="C24" s="347"/>
      <c r="D24" s="347"/>
      <c r="E24" s="347"/>
      <c r="F24" s="347"/>
      <c r="G24" s="347"/>
      <c r="H24" s="347"/>
      <c r="I24" s="347"/>
      <c r="J24" s="347"/>
      <c r="K24" s="347"/>
      <c r="L24" s="347"/>
      <c r="M24" s="347"/>
      <c r="N24" s="491"/>
      <c r="O24" s="347"/>
      <c r="P24" s="347"/>
      <c r="Q24" s="347"/>
      <c r="R24" s="347"/>
    </row>
    <row r="25" spans="1:18" ht="15.75" customHeight="1">
      <c r="A25" s="247" t="s">
        <v>579</v>
      </c>
      <c r="B25" s="254">
        <f>Assumptions!B80</f>
        <v>0</v>
      </c>
      <c r="C25" s="254">
        <f t="shared" ref="C25:R25" si="10">B29</f>
        <v>0</v>
      </c>
      <c r="D25" s="254">
        <f t="shared" si="10"/>
        <v>0</v>
      </c>
      <c r="E25" s="254">
        <f t="shared" si="10"/>
        <v>0</v>
      </c>
      <c r="F25" s="254">
        <f t="shared" si="10"/>
        <v>0</v>
      </c>
      <c r="G25" s="254">
        <f t="shared" si="10"/>
        <v>0</v>
      </c>
      <c r="H25" s="254">
        <f t="shared" si="10"/>
        <v>0</v>
      </c>
      <c r="I25" s="254">
        <f t="shared" si="10"/>
        <v>0</v>
      </c>
      <c r="J25" s="254">
        <f t="shared" si="10"/>
        <v>0</v>
      </c>
      <c r="K25" s="254">
        <f t="shared" si="10"/>
        <v>0</v>
      </c>
      <c r="L25" s="254">
        <f t="shared" si="10"/>
        <v>0</v>
      </c>
      <c r="M25" s="254">
        <f t="shared" si="10"/>
        <v>0</v>
      </c>
      <c r="N25" s="449">
        <f t="shared" si="10"/>
        <v>0</v>
      </c>
      <c r="O25" s="254">
        <f t="shared" si="10"/>
        <v>0</v>
      </c>
      <c r="P25" s="254">
        <f t="shared" si="10"/>
        <v>0</v>
      </c>
      <c r="Q25" s="254">
        <f t="shared" si="10"/>
        <v>0</v>
      </c>
      <c r="R25" s="254">
        <f t="shared" si="10"/>
        <v>0</v>
      </c>
    </row>
    <row r="26" spans="1:18" ht="15.75" customHeight="1">
      <c r="A26" s="247" t="s">
        <v>587</v>
      </c>
      <c r="B26" s="254">
        <f>ROUND(B25*Assumptions!$D$80/12,1)</f>
        <v>0</v>
      </c>
      <c r="C26" s="254">
        <f>ROUND(C25*Assumptions!$D$80/12,1)</f>
        <v>0</v>
      </c>
      <c r="D26" s="254">
        <f>ROUND(D25*Assumptions!$D$80/12,1)</f>
        <v>0</v>
      </c>
      <c r="E26" s="254">
        <f>ROUND(E25*Assumptions!$D$80/12,1)</f>
        <v>0</v>
      </c>
      <c r="F26" s="254">
        <f>ROUND(F25*Assumptions!$D$80/12,1)</f>
        <v>0</v>
      </c>
      <c r="G26" s="254">
        <f>ROUND(G25*Assumptions!$D$80/12,1)</f>
        <v>0</v>
      </c>
      <c r="H26" s="254">
        <f>ROUND(H25*Assumptions!$D$80/12,1)</f>
        <v>0</v>
      </c>
      <c r="I26" s="254">
        <f>ROUND(I25*Assumptions!$D$80/12,1)</f>
        <v>0</v>
      </c>
      <c r="J26" s="254">
        <f>ROUND(J25*Assumptions!$D$80/12,1)</f>
        <v>0</v>
      </c>
      <c r="K26" s="254">
        <f>ROUND(K25*Assumptions!$D$80/12,1)</f>
        <v>0</v>
      </c>
      <c r="L26" s="254">
        <f>ROUND(L25*Assumptions!$D$80/12,1)</f>
        <v>0</v>
      </c>
      <c r="M26" s="254">
        <f>ROUND(M25*Assumptions!$D$80/12,1)</f>
        <v>0</v>
      </c>
      <c r="N26" s="449">
        <f>SUM(B26:M26)</f>
        <v>0</v>
      </c>
      <c r="O26" s="254">
        <f>O25*Assumptions!$D$80</f>
        <v>0</v>
      </c>
      <c r="P26" s="254">
        <f>P25*Assumptions!$D$80</f>
        <v>0</v>
      </c>
      <c r="Q26" s="254">
        <f>IF(Q25&gt;0,Q25*Assumptions!$D$80,0)</f>
        <v>0</v>
      </c>
      <c r="R26" s="254">
        <v>0</v>
      </c>
    </row>
    <row r="27" spans="1:18" ht="15.75" customHeight="1">
      <c r="A27" s="418" t="s">
        <v>581</v>
      </c>
      <c r="B27" s="419">
        <f t="shared" ref="B27:M27" si="11">B26</f>
        <v>0</v>
      </c>
      <c r="C27" s="419">
        <f t="shared" si="11"/>
        <v>0</v>
      </c>
      <c r="D27" s="419">
        <f t="shared" si="11"/>
        <v>0</v>
      </c>
      <c r="E27" s="419">
        <f t="shared" si="11"/>
        <v>0</v>
      </c>
      <c r="F27" s="419">
        <f t="shared" si="11"/>
        <v>0</v>
      </c>
      <c r="G27" s="419">
        <f t="shared" si="11"/>
        <v>0</v>
      </c>
      <c r="H27" s="419">
        <f t="shared" si="11"/>
        <v>0</v>
      </c>
      <c r="I27" s="419">
        <f t="shared" si="11"/>
        <v>0</v>
      </c>
      <c r="J27" s="419">
        <f t="shared" si="11"/>
        <v>0</v>
      </c>
      <c r="K27" s="419">
        <f t="shared" si="11"/>
        <v>0</v>
      </c>
      <c r="L27" s="419">
        <f t="shared" si="11"/>
        <v>0</v>
      </c>
      <c r="M27" s="419">
        <f t="shared" si="11"/>
        <v>0</v>
      </c>
      <c r="N27" s="469">
        <f>SUM(B27:M27)</f>
        <v>0</v>
      </c>
      <c r="O27" s="419">
        <f>O26</f>
        <v>0</v>
      </c>
      <c r="P27" s="419">
        <f>P26</f>
        <v>0</v>
      </c>
      <c r="Q27" s="419">
        <f>IF(Q25&gt;0,Q25*Assumptions!$D$80,0)</f>
        <v>0</v>
      </c>
      <c r="R27" s="419">
        <v>0</v>
      </c>
    </row>
    <row r="28" spans="1:18" ht="15.75" customHeight="1">
      <c r="A28" s="247" t="s">
        <v>582</v>
      </c>
      <c r="B28" s="254">
        <v>0</v>
      </c>
      <c r="C28" s="254">
        <v>0</v>
      </c>
      <c r="D28" s="254">
        <v>0</v>
      </c>
      <c r="E28" s="254">
        <v>0</v>
      </c>
      <c r="F28" s="254">
        <v>0</v>
      </c>
      <c r="G28" s="254">
        <v>0</v>
      </c>
      <c r="H28" s="254">
        <v>0</v>
      </c>
      <c r="I28" s="254">
        <v>0</v>
      </c>
      <c r="J28" s="254">
        <v>0</v>
      </c>
      <c r="K28" s="254">
        <v>0</v>
      </c>
      <c r="L28" s="254">
        <v>0</v>
      </c>
      <c r="M28" s="254">
        <v>0</v>
      </c>
      <c r="N28" s="449">
        <f>SUM(B28:M28)</f>
        <v>0</v>
      </c>
      <c r="O28" s="254">
        <v>0</v>
      </c>
      <c r="P28" s="254">
        <v>0</v>
      </c>
      <c r="Q28" s="254">
        <f>Q25</f>
        <v>0</v>
      </c>
      <c r="R28" s="254">
        <v>0</v>
      </c>
    </row>
    <row r="29" spans="1:18" ht="15.75" customHeight="1">
      <c r="A29" s="284" t="s">
        <v>583</v>
      </c>
      <c r="B29" s="346">
        <f t="shared" ref="B29:M29" si="12">B25-B28</f>
        <v>0</v>
      </c>
      <c r="C29" s="346">
        <f t="shared" si="12"/>
        <v>0</v>
      </c>
      <c r="D29" s="346">
        <f t="shared" si="12"/>
        <v>0</v>
      </c>
      <c r="E29" s="346">
        <f t="shared" si="12"/>
        <v>0</v>
      </c>
      <c r="F29" s="346">
        <f t="shared" si="12"/>
        <v>0</v>
      </c>
      <c r="G29" s="346">
        <f t="shared" si="12"/>
        <v>0</v>
      </c>
      <c r="H29" s="346">
        <f t="shared" si="12"/>
        <v>0</v>
      </c>
      <c r="I29" s="346">
        <f t="shared" si="12"/>
        <v>0</v>
      </c>
      <c r="J29" s="346">
        <f t="shared" si="12"/>
        <v>0</v>
      </c>
      <c r="K29" s="346">
        <f t="shared" si="12"/>
        <v>0</v>
      </c>
      <c r="L29" s="346">
        <f t="shared" si="12"/>
        <v>0</v>
      </c>
      <c r="M29" s="346">
        <f t="shared" si="12"/>
        <v>0</v>
      </c>
      <c r="N29" s="490">
        <f>M29</f>
        <v>0</v>
      </c>
      <c r="O29" s="346">
        <f>O25</f>
        <v>0</v>
      </c>
      <c r="P29" s="346">
        <f>P25</f>
        <v>0</v>
      </c>
      <c r="Q29" s="346">
        <f>MAX(Q25-Q28,0)</f>
        <v>0</v>
      </c>
      <c r="R29" s="346">
        <v>0</v>
      </c>
    </row>
    <row r="30" spans="1:18" ht="15.75" customHeight="1">
      <c r="A30" s="247"/>
      <c r="B30" s="259"/>
      <c r="C30" s="259"/>
      <c r="D30" s="259"/>
      <c r="E30" s="259"/>
      <c r="F30" s="259"/>
      <c r="G30" s="259"/>
      <c r="H30" s="259"/>
      <c r="I30" s="259"/>
      <c r="J30" s="259"/>
      <c r="K30" s="259"/>
      <c r="L30" s="259"/>
      <c r="M30" s="259"/>
      <c r="N30" s="454"/>
      <c r="O30" s="259"/>
      <c r="P30" s="259"/>
      <c r="Q30" s="259"/>
      <c r="R30" s="259"/>
    </row>
    <row r="31" spans="1:18" ht="15.75" customHeight="1">
      <c r="A31" s="64" t="s">
        <v>588</v>
      </c>
      <c r="B31" s="286"/>
      <c r="C31" s="286"/>
      <c r="D31" s="286"/>
      <c r="E31" s="286"/>
      <c r="F31" s="286"/>
      <c r="G31" s="286"/>
      <c r="H31" s="286"/>
      <c r="I31" s="286"/>
      <c r="J31" s="286"/>
      <c r="K31" s="286"/>
      <c r="L31" s="286"/>
      <c r="M31" s="286"/>
      <c r="N31" s="492"/>
      <c r="O31" s="286"/>
      <c r="P31" s="286"/>
      <c r="Q31" s="286"/>
      <c r="R31" s="286"/>
    </row>
    <row r="32" spans="1:18" ht="15.75" customHeight="1">
      <c r="A32" s="68" t="s">
        <v>251</v>
      </c>
      <c r="B32" s="287"/>
      <c r="C32" s="287"/>
      <c r="D32" s="287"/>
      <c r="E32" s="287"/>
      <c r="F32" s="287"/>
      <c r="G32" s="287"/>
      <c r="H32" s="287"/>
      <c r="I32" s="287"/>
      <c r="J32" s="287"/>
      <c r="K32" s="287"/>
      <c r="L32" s="287"/>
      <c r="M32" s="287"/>
      <c r="N32" s="493"/>
      <c r="O32" s="287"/>
      <c r="P32" s="287"/>
      <c r="Q32" s="287"/>
      <c r="R32" s="287"/>
    </row>
    <row r="33" spans="1:18" ht="15.75" customHeight="1">
      <c r="A33" s="247" t="s">
        <v>579</v>
      </c>
      <c r="B33" s="254">
        <v>0</v>
      </c>
      <c r="C33" s="254">
        <v>0</v>
      </c>
      <c r="D33" s="254">
        <v>0</v>
      </c>
      <c r="E33" s="254">
        <v>0</v>
      </c>
      <c r="F33" s="254">
        <f>Assumptions!B89</f>
        <v>700</v>
      </c>
      <c r="G33" s="254">
        <f t="shared" ref="G33:M33" si="13">F37</f>
        <v>690.18333333333328</v>
      </c>
      <c r="H33" s="254">
        <f t="shared" si="13"/>
        <v>680.30940277777768</v>
      </c>
      <c r="I33" s="254">
        <f t="shared" si="13"/>
        <v>670.37787429398134</v>
      </c>
      <c r="J33" s="254">
        <f t="shared" si="13"/>
        <v>660.38841189402956</v>
      </c>
      <c r="K33" s="254">
        <f t="shared" si="13"/>
        <v>650.34067763007806</v>
      </c>
      <c r="L33" s="254">
        <f t="shared" si="13"/>
        <v>640.23433158292016</v>
      </c>
      <c r="M33" s="254">
        <f t="shared" si="13"/>
        <v>630.06903185048725</v>
      </c>
      <c r="N33" s="449">
        <f>SUM(B33:M33)</f>
        <v>5321.903063362608</v>
      </c>
      <c r="O33" s="254">
        <f>N37</f>
        <v>619.84443453628171</v>
      </c>
      <c r="P33" s="254">
        <f>O37</f>
        <v>496.43354495382141</v>
      </c>
      <c r="Q33" s="254">
        <f>P37</f>
        <v>364.38389310058892</v>
      </c>
      <c r="R33" s="254">
        <f>Q37</f>
        <v>223.09076561763013</v>
      </c>
    </row>
    <row r="34" spans="1:18" ht="15.75" customHeight="1">
      <c r="A34" s="247" t="s">
        <v>580</v>
      </c>
      <c r="B34" s="254">
        <f>IF(B33&gt;0,Assumptions!F89,0)</f>
        <v>0</v>
      </c>
      <c r="C34" s="254">
        <f>IF(C33&gt;0,Assumptions!F89,0)</f>
        <v>0</v>
      </c>
      <c r="D34" s="254">
        <f>IF(D33&gt;0,Assumptions!F89,0)</f>
        <v>0</v>
      </c>
      <c r="E34" s="254">
        <f>IF(E33&gt;0,Assumptions!F89,0)</f>
        <v>0</v>
      </c>
      <c r="F34" s="254">
        <f>IF(F33&gt;0,Assumptions!F89,0)</f>
        <v>13.9</v>
      </c>
      <c r="G34" s="254">
        <f>IF(G33&gt;0,Assumptions!F89,0)</f>
        <v>13.9</v>
      </c>
      <c r="H34" s="254">
        <f>IF(H33&gt;0,Assumptions!F89,0)</f>
        <v>13.9</v>
      </c>
      <c r="I34" s="254">
        <f>IF(I33&gt;0,Assumptions!F89,0)</f>
        <v>13.9</v>
      </c>
      <c r="J34" s="254">
        <f>IF(J33&gt;0,Assumptions!F89,0)</f>
        <v>13.9</v>
      </c>
      <c r="K34" s="254">
        <f>IF(K33&gt;0,Assumptions!F89,0)</f>
        <v>13.9</v>
      </c>
      <c r="L34" s="254">
        <f>IF(L33&gt;0,Assumptions!F89,0)</f>
        <v>13.9</v>
      </c>
      <c r="M34" s="254">
        <f>IF(M33&gt;0,Assumptions!F89,0)</f>
        <v>13.9</v>
      </c>
      <c r="N34" s="449">
        <f>SUM(B34:M34)</f>
        <v>111.20000000000002</v>
      </c>
      <c r="O34" s="254">
        <f>IF(O33&gt;0,Assumptions!$F$89*12,0)</f>
        <v>166.8</v>
      </c>
      <c r="P34" s="254">
        <f>IF(P33&gt;0,Assumptions!$F$89*12,0)</f>
        <v>166.8</v>
      </c>
      <c r="Q34" s="254">
        <f>IF(Q33&gt;0,Assumptions!$F$89*12,0)</f>
        <v>166.8</v>
      </c>
      <c r="R34" s="254">
        <f>IF(R33&gt;0,Assumptions!$F$89*12,0)</f>
        <v>166.8</v>
      </c>
    </row>
    <row r="35" spans="1:18" ht="15.75" customHeight="1">
      <c r="A35" s="39" t="s">
        <v>581</v>
      </c>
      <c r="B35" s="254">
        <f>B33*Assumptions!D89/12</f>
        <v>0</v>
      </c>
      <c r="C35" s="254">
        <f>C33*Assumptions!D89/12</f>
        <v>0</v>
      </c>
      <c r="D35" s="254">
        <f>D33*Assumptions!D89/12</f>
        <v>0</v>
      </c>
      <c r="E35" s="254">
        <f>E33*Assumptions!D89/12</f>
        <v>0</v>
      </c>
      <c r="F35" s="254">
        <f>F33*Assumptions!D89/12</f>
        <v>4.0833333333333339</v>
      </c>
      <c r="G35" s="254">
        <f>G33*Assumptions!D89/12</f>
        <v>4.0260694444444445</v>
      </c>
      <c r="H35" s="254">
        <f>H33*Assumptions!D89/12</f>
        <v>3.9684715162037034</v>
      </c>
      <c r="I35" s="254">
        <f>I33*Assumptions!D89/12</f>
        <v>3.9105376000482246</v>
      </c>
      <c r="J35" s="254">
        <f>J33*Assumptions!D89/12</f>
        <v>3.8522657360485062</v>
      </c>
      <c r="K35" s="254">
        <f>K33*Assumptions!D89/12</f>
        <v>3.7936539528421225</v>
      </c>
      <c r="L35" s="254">
        <f>L33*Assumptions!D89/12</f>
        <v>3.7347002675670349</v>
      </c>
      <c r="M35" s="254">
        <f>M33*Assumptions!D89/12</f>
        <v>3.6754026857945092</v>
      </c>
      <c r="N35" s="494">
        <f>SUM(B35:M35)</f>
        <v>31.044434536281877</v>
      </c>
      <c r="O35" s="254">
        <f>O33*Assumptions!$D$89</f>
        <v>43.389110417539726</v>
      </c>
      <c r="P35" s="254">
        <f>P33*Assumptions!$D$89</f>
        <v>34.7503481467675</v>
      </c>
      <c r="Q35" s="254">
        <f>Q33*Assumptions!$D$89</f>
        <v>25.506872517041227</v>
      </c>
      <c r="R35" s="254">
        <f>R33*Assumptions!$D$89</f>
        <v>15.616353593234111</v>
      </c>
    </row>
    <row r="36" spans="1:18" ht="15.75" customHeight="1">
      <c r="A36" s="247" t="s">
        <v>582</v>
      </c>
      <c r="B36" s="254">
        <f t="shared" ref="B36:M36" si="14">B34-B35</f>
        <v>0</v>
      </c>
      <c r="C36" s="254">
        <f t="shared" si="14"/>
        <v>0</v>
      </c>
      <c r="D36" s="254">
        <f t="shared" si="14"/>
        <v>0</v>
      </c>
      <c r="E36" s="254">
        <f t="shared" si="14"/>
        <v>0</v>
      </c>
      <c r="F36" s="254">
        <f t="shared" si="14"/>
        <v>9.8166666666666664</v>
      </c>
      <c r="G36" s="254">
        <f t="shared" si="14"/>
        <v>9.8739305555555568</v>
      </c>
      <c r="H36" s="254">
        <f t="shared" si="14"/>
        <v>9.9315284837962974</v>
      </c>
      <c r="I36" s="254">
        <f t="shared" si="14"/>
        <v>9.9894623999517762</v>
      </c>
      <c r="J36" s="254">
        <f t="shared" si="14"/>
        <v>10.047734263951494</v>
      </c>
      <c r="K36" s="254">
        <f t="shared" si="14"/>
        <v>10.106346047157878</v>
      </c>
      <c r="L36" s="254">
        <f t="shared" si="14"/>
        <v>10.165299732432965</v>
      </c>
      <c r="M36" s="254">
        <f t="shared" si="14"/>
        <v>10.224597314205491</v>
      </c>
      <c r="N36" s="449">
        <f>SUM(B36:M36)</f>
        <v>80.155565463718133</v>
      </c>
      <c r="O36" s="254">
        <f>O34-O35</f>
        <v>123.41088958246029</v>
      </c>
      <c r="P36" s="254">
        <f>P34-P35</f>
        <v>132.04965185323252</v>
      </c>
      <c r="Q36" s="254">
        <f>Q34-Q35</f>
        <v>141.29312748295879</v>
      </c>
      <c r="R36" s="254">
        <f>R34-R35</f>
        <v>151.18364640676589</v>
      </c>
    </row>
    <row r="37" spans="1:18" ht="15.75" customHeight="1">
      <c r="A37" s="38" t="s">
        <v>583</v>
      </c>
      <c r="B37" s="348">
        <f t="shared" ref="B37:M37" si="15">MAX(B33-B36,0)</f>
        <v>0</v>
      </c>
      <c r="C37" s="348">
        <f t="shared" si="15"/>
        <v>0</v>
      </c>
      <c r="D37" s="348">
        <f t="shared" si="15"/>
        <v>0</v>
      </c>
      <c r="E37" s="348">
        <f t="shared" si="15"/>
        <v>0</v>
      </c>
      <c r="F37" s="348">
        <f t="shared" si="15"/>
        <v>690.18333333333328</v>
      </c>
      <c r="G37" s="348">
        <f t="shared" si="15"/>
        <v>680.30940277777768</v>
      </c>
      <c r="H37" s="348">
        <f t="shared" si="15"/>
        <v>670.37787429398134</v>
      </c>
      <c r="I37" s="348">
        <f t="shared" si="15"/>
        <v>660.38841189402956</v>
      </c>
      <c r="J37" s="348">
        <f t="shared" si="15"/>
        <v>650.34067763007806</v>
      </c>
      <c r="K37" s="348">
        <f t="shared" si="15"/>
        <v>640.23433158292016</v>
      </c>
      <c r="L37" s="348">
        <f t="shared" si="15"/>
        <v>630.06903185048725</v>
      </c>
      <c r="M37" s="348">
        <f t="shared" si="15"/>
        <v>619.84443453628171</v>
      </c>
      <c r="N37" s="495">
        <f>M37</f>
        <v>619.84443453628171</v>
      </c>
      <c r="O37" s="348">
        <f>MAX(O33-O36,0)</f>
        <v>496.43354495382141</v>
      </c>
      <c r="P37" s="348">
        <f>MAX(P33-P36,0)</f>
        <v>364.38389310058892</v>
      </c>
      <c r="Q37" s="348">
        <f>MAX(Q33-Q36,0)</f>
        <v>223.09076561763013</v>
      </c>
      <c r="R37" s="348">
        <f>MAX(R33-R36,0)</f>
        <v>71.907119210864238</v>
      </c>
    </row>
    <row r="38" spans="1:18" ht="15.75" customHeight="1">
      <c r="A38" s="68" t="s">
        <v>253</v>
      </c>
      <c r="B38" s="287"/>
      <c r="C38" s="287"/>
      <c r="D38" s="287"/>
      <c r="E38" s="287"/>
      <c r="F38" s="287"/>
      <c r="G38" s="287"/>
      <c r="H38" s="287"/>
      <c r="I38" s="287"/>
      <c r="J38" s="287"/>
      <c r="K38" s="287"/>
      <c r="L38" s="287"/>
      <c r="M38" s="287"/>
      <c r="N38" s="493"/>
      <c r="O38" s="287"/>
      <c r="P38" s="287"/>
      <c r="Q38" s="287"/>
      <c r="R38" s="287"/>
    </row>
    <row r="39" spans="1:18" ht="15.75" customHeight="1">
      <c r="A39" s="247" t="s">
        <v>579</v>
      </c>
      <c r="B39" s="254">
        <v>0</v>
      </c>
      <c r="C39" s="254">
        <v>0</v>
      </c>
      <c r="D39" s="254">
        <v>0</v>
      </c>
      <c r="E39" s="254">
        <v>0</v>
      </c>
      <c r="F39" s="254">
        <f>Assumptions!B90</f>
        <v>50</v>
      </c>
      <c r="G39" s="254">
        <f t="shared" ref="G39:M39" si="16">F43</f>
        <v>49.291666666666664</v>
      </c>
      <c r="H39" s="254">
        <f t="shared" si="16"/>
        <v>48.579201388888883</v>
      </c>
      <c r="I39" s="254">
        <f t="shared" si="16"/>
        <v>47.862580063657404</v>
      </c>
      <c r="J39" s="254">
        <f t="shared" si="16"/>
        <v>47.141778447362071</v>
      </c>
      <c r="K39" s="254">
        <f t="shared" si="16"/>
        <v>46.416772154971682</v>
      </c>
      <c r="L39" s="254">
        <f t="shared" si="16"/>
        <v>45.687536659209016</v>
      </c>
      <c r="M39" s="254">
        <f t="shared" si="16"/>
        <v>44.954047289721068</v>
      </c>
      <c r="N39" s="449">
        <f>SUM(B39:M39)</f>
        <v>379.93358267047677</v>
      </c>
      <c r="O39" s="254">
        <f>N43</f>
        <v>44.216279232244439</v>
      </c>
      <c r="P39" s="254">
        <f>O43</f>
        <v>35.311418778501547</v>
      </c>
      <c r="Q39" s="254">
        <f>P43</f>
        <v>25.783218092996655</v>
      </c>
      <c r="R39" s="254">
        <f>Q43</f>
        <v>15.588043359506422</v>
      </c>
    </row>
    <row r="40" spans="1:18" ht="15.75" customHeight="1">
      <c r="A40" s="247" t="s">
        <v>580</v>
      </c>
      <c r="B40" s="254">
        <f>IF(B39&gt;0,Assumptions!F90,0)</f>
        <v>0</v>
      </c>
      <c r="C40" s="254">
        <f>IF(C39&gt;0,Assumptions!F90,0)</f>
        <v>0</v>
      </c>
      <c r="D40" s="254">
        <f>IF(D39&gt;0,Assumptions!F90,0)</f>
        <v>0</v>
      </c>
      <c r="E40" s="254">
        <f>IF(E39&gt;0,Assumptions!F90,0)</f>
        <v>0</v>
      </c>
      <c r="F40" s="254">
        <f>IF(F39&gt;0,Assumptions!F90,0)</f>
        <v>1</v>
      </c>
      <c r="G40" s="254">
        <f>IF(G39&gt;0,Assumptions!F90,0)</f>
        <v>1</v>
      </c>
      <c r="H40" s="254">
        <f>IF(H39&gt;0,Assumptions!F90,0)</f>
        <v>1</v>
      </c>
      <c r="I40" s="254">
        <f>IF(I39&gt;0,Assumptions!F90,0)</f>
        <v>1</v>
      </c>
      <c r="J40" s="254">
        <f>IF(J39&gt;0,Assumptions!F90,0)</f>
        <v>1</v>
      </c>
      <c r="K40" s="254">
        <f>IF(K39&gt;0,Assumptions!F90,0)</f>
        <v>1</v>
      </c>
      <c r="L40" s="254">
        <f>IF(L39&gt;0,Assumptions!F90,0)</f>
        <v>1</v>
      </c>
      <c r="M40" s="254">
        <f>IF(M39&gt;0,Assumptions!F90,0)</f>
        <v>1</v>
      </c>
      <c r="N40" s="449">
        <f>SUM(B40:M40)</f>
        <v>8</v>
      </c>
      <c r="O40" s="254">
        <f>IF(O39&gt;0,Assumptions!$F$90*12,0)</f>
        <v>12</v>
      </c>
      <c r="P40" s="254">
        <f>IF(P39&gt;0,Assumptions!$F$90*12,0)</f>
        <v>12</v>
      </c>
      <c r="Q40" s="254">
        <f>IF(Q39&gt;0,Assumptions!$F$90*12,0)</f>
        <v>12</v>
      </c>
      <c r="R40" s="254">
        <f>IF(R39&gt;0,Assumptions!$F$90*12,0)</f>
        <v>12</v>
      </c>
    </row>
    <row r="41" spans="1:18" ht="15.75" customHeight="1">
      <c r="A41" s="39" t="s">
        <v>581</v>
      </c>
      <c r="B41" s="254">
        <f>B39*Assumptions!D90/12</f>
        <v>0</v>
      </c>
      <c r="C41" s="254">
        <f>C39*Assumptions!D90/12</f>
        <v>0</v>
      </c>
      <c r="D41" s="254">
        <f>D39*Assumptions!D90/12</f>
        <v>0</v>
      </c>
      <c r="E41" s="254">
        <f>E39*Assumptions!D90/12</f>
        <v>0</v>
      </c>
      <c r="F41" s="254">
        <f>F39*Assumptions!D90/12</f>
        <v>0.29166666666666669</v>
      </c>
      <c r="G41" s="254">
        <f>G39*Assumptions!D90/12</f>
        <v>0.28753472222222226</v>
      </c>
      <c r="H41" s="254">
        <f>H39*Assumptions!D90/12</f>
        <v>0.28337867476851852</v>
      </c>
      <c r="I41" s="254">
        <f>I39*Assumptions!D90/12</f>
        <v>0.27919838370466821</v>
      </c>
      <c r="J41" s="254">
        <f>J39*Assumptions!D90/12</f>
        <v>0.27499370760961211</v>
      </c>
      <c r="K41" s="254">
        <f>K39*Assumptions!D90/12</f>
        <v>0.27076450423733484</v>
      </c>
      <c r="L41" s="254">
        <f>L39*Assumptions!D90/12</f>
        <v>0.26651063051205265</v>
      </c>
      <c r="M41" s="254">
        <f>M39*Assumptions!D90/12</f>
        <v>0.26223194252337295</v>
      </c>
      <c r="N41" s="494">
        <f>SUM(B41:M41)</f>
        <v>2.2162792322444482</v>
      </c>
      <c r="O41" s="254">
        <f>O39*Assumptions!$D$90</f>
        <v>3.0951395462571112</v>
      </c>
      <c r="P41" s="254">
        <f>P39*Assumptions!$D$90</f>
        <v>2.4717993144951085</v>
      </c>
      <c r="Q41" s="254">
        <f>Q39*Assumptions!$D$90</f>
        <v>1.8048252665097662</v>
      </c>
      <c r="R41" s="254">
        <f>R39*Assumptions!$D$90</f>
        <v>1.0911630351654495</v>
      </c>
    </row>
    <row r="42" spans="1:18" ht="15.75" customHeight="1">
      <c r="A42" s="247" t="s">
        <v>582</v>
      </c>
      <c r="B42" s="254">
        <f t="shared" ref="B42:M42" si="17">B40-B41</f>
        <v>0</v>
      </c>
      <c r="C42" s="254">
        <f t="shared" si="17"/>
        <v>0</v>
      </c>
      <c r="D42" s="254">
        <f t="shared" si="17"/>
        <v>0</v>
      </c>
      <c r="E42" s="254">
        <f t="shared" si="17"/>
        <v>0</v>
      </c>
      <c r="F42" s="254">
        <f t="shared" si="17"/>
        <v>0.70833333333333326</v>
      </c>
      <c r="G42" s="254">
        <f t="shared" si="17"/>
        <v>0.71246527777777779</v>
      </c>
      <c r="H42" s="254">
        <f t="shared" si="17"/>
        <v>0.71662132523148148</v>
      </c>
      <c r="I42" s="254">
        <f t="shared" si="17"/>
        <v>0.72080161629533179</v>
      </c>
      <c r="J42" s="254">
        <f t="shared" si="17"/>
        <v>0.72500629239038794</v>
      </c>
      <c r="K42" s="254">
        <f t="shared" si="17"/>
        <v>0.72923549576266522</v>
      </c>
      <c r="L42" s="254">
        <f t="shared" si="17"/>
        <v>0.73348936948794741</v>
      </c>
      <c r="M42" s="254">
        <f t="shared" si="17"/>
        <v>0.73776805747662699</v>
      </c>
      <c r="N42" s="449">
        <f>SUM(B42:M42)</f>
        <v>5.7837207677555513</v>
      </c>
      <c r="O42" s="254">
        <f>O40-O41</f>
        <v>8.9048604537428879</v>
      </c>
      <c r="P42" s="254">
        <f>P40-P41</f>
        <v>9.528200685504892</v>
      </c>
      <c r="Q42" s="254">
        <f>Q40-Q41</f>
        <v>10.195174733490234</v>
      </c>
      <c r="R42" s="254">
        <f>R40-R41</f>
        <v>10.908836964834551</v>
      </c>
    </row>
    <row r="43" spans="1:18" ht="15.75" customHeight="1">
      <c r="A43" s="38" t="s">
        <v>583</v>
      </c>
      <c r="B43" s="348">
        <f t="shared" ref="B43:M43" si="18">MAX(B39-B42,0)</f>
        <v>0</v>
      </c>
      <c r="C43" s="348">
        <f t="shared" si="18"/>
        <v>0</v>
      </c>
      <c r="D43" s="348">
        <f t="shared" si="18"/>
        <v>0</v>
      </c>
      <c r="E43" s="348">
        <f t="shared" si="18"/>
        <v>0</v>
      </c>
      <c r="F43" s="348">
        <f t="shared" si="18"/>
        <v>49.291666666666664</v>
      </c>
      <c r="G43" s="348">
        <f t="shared" si="18"/>
        <v>48.579201388888883</v>
      </c>
      <c r="H43" s="348">
        <f t="shared" si="18"/>
        <v>47.862580063657404</v>
      </c>
      <c r="I43" s="348">
        <f t="shared" si="18"/>
        <v>47.141778447362071</v>
      </c>
      <c r="J43" s="348">
        <f t="shared" si="18"/>
        <v>46.416772154971682</v>
      </c>
      <c r="K43" s="348">
        <f t="shared" si="18"/>
        <v>45.687536659209016</v>
      </c>
      <c r="L43" s="348">
        <f t="shared" si="18"/>
        <v>44.954047289721068</v>
      </c>
      <c r="M43" s="348">
        <f t="shared" si="18"/>
        <v>44.216279232244439</v>
      </c>
      <c r="N43" s="495">
        <f>M43</f>
        <v>44.216279232244439</v>
      </c>
      <c r="O43" s="348">
        <f>MAX(O39-O42,0)</f>
        <v>35.311418778501547</v>
      </c>
      <c r="P43" s="348">
        <f>MAX(P39-P42,0)</f>
        <v>25.783218092996655</v>
      </c>
      <c r="Q43" s="348">
        <f>MAX(Q39-Q42,0)</f>
        <v>15.588043359506422</v>
      </c>
      <c r="R43" s="348">
        <f>MAX(R39-R42,0)</f>
        <v>4.6792063946718709</v>
      </c>
    </row>
    <row r="44" spans="1:18" ht="15.75" customHeight="1">
      <c r="A44" s="38" t="s">
        <v>589</v>
      </c>
      <c r="B44" s="349"/>
      <c r="C44" s="349"/>
      <c r="D44" s="349"/>
      <c r="E44" s="349"/>
      <c r="F44" s="349"/>
      <c r="G44" s="349"/>
      <c r="H44" s="349"/>
      <c r="I44" s="349"/>
      <c r="J44" s="349"/>
      <c r="K44" s="349"/>
      <c r="L44" s="349"/>
      <c r="M44" s="349"/>
      <c r="N44" s="468"/>
      <c r="O44" s="349"/>
      <c r="P44" s="349"/>
      <c r="Q44" s="349"/>
      <c r="R44" s="349"/>
    </row>
    <row r="45" spans="1:18" ht="15.75" customHeight="1">
      <c r="A45" s="38" t="s">
        <v>579</v>
      </c>
      <c r="B45" s="349">
        <f>Assumptions!$G$187*Assumptions!$G$191</f>
        <v>600</v>
      </c>
      <c r="C45" s="349">
        <f t="shared" ref="C45:R45" si="19">B49</f>
        <v>600</v>
      </c>
      <c r="D45" s="349">
        <f t="shared" si="19"/>
        <v>600</v>
      </c>
      <c r="E45" s="349">
        <f t="shared" si="19"/>
        <v>600</v>
      </c>
      <c r="F45" s="349">
        <f t="shared" si="19"/>
        <v>600</v>
      </c>
      <c r="G45" s="349">
        <f t="shared" si="19"/>
        <v>600</v>
      </c>
      <c r="H45" s="349">
        <f t="shared" si="19"/>
        <v>600</v>
      </c>
      <c r="I45" s="349">
        <f t="shared" si="19"/>
        <v>600</v>
      </c>
      <c r="J45" s="349">
        <f t="shared" si="19"/>
        <v>600</v>
      </c>
      <c r="K45" s="349">
        <f t="shared" si="19"/>
        <v>600</v>
      </c>
      <c r="L45" s="349">
        <f t="shared" si="19"/>
        <v>600</v>
      </c>
      <c r="M45" s="349">
        <f t="shared" si="19"/>
        <v>600</v>
      </c>
      <c r="N45" s="468">
        <f t="shared" si="19"/>
        <v>600</v>
      </c>
      <c r="O45" s="349">
        <f t="shared" si="19"/>
        <v>600</v>
      </c>
      <c r="P45" s="349">
        <f t="shared" si="19"/>
        <v>0</v>
      </c>
      <c r="Q45" s="349">
        <f t="shared" si="19"/>
        <v>0</v>
      </c>
      <c r="R45" s="349">
        <f t="shared" si="19"/>
        <v>0</v>
      </c>
    </row>
    <row r="46" spans="1:18" ht="15.75" customHeight="1">
      <c r="A46" s="38" t="s">
        <v>590</v>
      </c>
      <c r="B46" s="349">
        <v>0</v>
      </c>
      <c r="C46" s="349">
        <v>0</v>
      </c>
      <c r="D46" s="349">
        <v>0</v>
      </c>
      <c r="E46" s="349">
        <v>0</v>
      </c>
      <c r="F46" s="349">
        <v>0</v>
      </c>
      <c r="G46" s="349">
        <v>0</v>
      </c>
      <c r="H46" s="349">
        <v>0</v>
      </c>
      <c r="I46" s="349">
        <v>0</v>
      </c>
      <c r="J46" s="349">
        <v>0</v>
      </c>
      <c r="K46" s="349">
        <v>0</v>
      </c>
      <c r="L46" s="349">
        <v>0</v>
      </c>
      <c r="M46" s="349">
        <v>0</v>
      </c>
      <c r="N46" s="468">
        <v>0</v>
      </c>
      <c r="O46" s="349">
        <f>IF(Assumptions!$G$187=0,0,_xlfn.LET(_xlpm.nonRevInt,O7+O13+O21+O27+O35+O41,_xlpm.ebit,'Income Statement'!O19,_xlpm.ebt_preRev,_xlpm.ebit-_xlpm.nonRevInt+'Income Statement'!O23,_xlpm.tax,IF(_xlpm.ebt_preRev&gt;0,_xlpm.ebt_preRev*Assumptions!$B$13,0),_xlpm.ni_preRev,_xlpm.ebt_preRev-_xlpm.tax,_xlpm.depr,'Income Statement'!O14,_xlpm.wc,'Cash Flow'!O14,_xlpm.cfo_preRev,_xlpm.ni_preRev+_xlpm.depr+_xlpm.wc,_xlpm.cfi,'Cash Flow'!O22,_xlpm.equity,'Cash Flow'!O25,_xlpm.debtProc,'Cash Flow'!O26+'Cash Flow'!O27,_xlpm.princ,-O70,_xlpm.dist_preRev,IF(_xlpm.ni_preRev&gt;0,-_xlpm.ni_preRev*Assumptions!$B$104,0),_xlpm.cashAvail,'Cash Flow'!N36+_xlpm.cfo_preRev+_xlpm.cfi+_xlpm.equity+_xlpm.debtProc+_xlpm.princ+_xlpm.dist_preRev,_xlpm.draw,IF(_xlpm.cashAvail&lt;Assumptions!$G$101,MIN(Assumptions!$G$101-_xlpm.cashAvail,MAX(0,Assumptions!$G$187-O45)),-MIN(MAX(_xlpm.cashAvail-Assumptions!$G$101,0),O45)),_xlpm.draw))</f>
        <v>-600</v>
      </c>
      <c r="P46" s="349">
        <f>IF(Assumptions!$G$187=0,0,_xlfn.LET(_xlpm.nonRevInt,P7+P13+P21+P27+P35+P41,_xlpm.ebit,'Income Statement'!P19,_xlpm.ebt_preRev,_xlpm.ebit-_xlpm.nonRevInt+'Income Statement'!P23,_xlpm.tax,IF(_xlpm.ebt_preRev&gt;0,_xlpm.ebt_preRev*Assumptions!$B$13,0),_xlpm.ni_preRev,_xlpm.ebt_preRev-_xlpm.tax,_xlpm.depr,'Income Statement'!P14,_xlpm.wc,'Cash Flow'!P14,_xlpm.cfo_preRev,_xlpm.ni_preRev+_xlpm.depr+_xlpm.wc,_xlpm.cfi,'Cash Flow'!P22,_xlpm.equity,'Cash Flow'!P25,_xlpm.debtProc,'Cash Flow'!P26+'Cash Flow'!P27,_xlpm.princ,-P70,_xlpm.dist_preRev,IF(_xlpm.ni_preRev&gt;0,-_xlpm.ni_preRev*Assumptions!$B$104,0),_xlpm.cashAvail,'Cash Flow'!O36+_xlpm.cfo_preRev+_xlpm.cfi+_xlpm.equity+_xlpm.debtProc+_xlpm.princ+_xlpm.dist_preRev,_xlpm.draw,IF(_xlpm.cashAvail&lt;Assumptions!$G$101,MIN(Assumptions!$G$101-_xlpm.cashAvail,MAX(0,Assumptions!$G$187-P45)),-MIN(MAX(_xlpm.cashAvail-Assumptions!$G$101,0),P45)),_xlpm.draw))</f>
        <v>0</v>
      </c>
      <c r="Q46" s="349">
        <f>IF(Assumptions!$G$187=0,0,_xlfn.LET(_xlpm.nonRevInt,Q7+Q13+Q21+Q27+Q35+Q41,_xlpm.ebit,'Income Statement'!Q19,_xlpm.ebt_preRev,_xlpm.ebit-_xlpm.nonRevInt+'Income Statement'!Q23,_xlpm.tax,IF(_xlpm.ebt_preRev&gt;0,_xlpm.ebt_preRev*Assumptions!$B$13,0),_xlpm.ni_preRev,_xlpm.ebt_preRev-_xlpm.tax,_xlpm.depr,'Income Statement'!Q14,_xlpm.wc,'Cash Flow'!Q14,_xlpm.cfo_preRev,_xlpm.ni_preRev+_xlpm.depr+_xlpm.wc,_xlpm.cfi,'Cash Flow'!Q22,_xlpm.equity,'Cash Flow'!Q25,_xlpm.debtProc,'Cash Flow'!Q26+'Cash Flow'!Q27,_xlpm.princ,-Q70,_xlpm.dist_preRev,IF(_xlpm.ni_preRev&gt;0,-_xlpm.ni_preRev*Assumptions!$B$104,0),_xlpm.cashAvail,'Cash Flow'!P36+_xlpm.cfo_preRev+_xlpm.cfi+_xlpm.equity+_xlpm.debtProc+_xlpm.princ+_xlpm.dist_preRev,_xlpm.draw,IF(_xlpm.cashAvail&lt;Assumptions!$G$101,MIN(Assumptions!$G$101-_xlpm.cashAvail,MAX(0,Assumptions!$G$187-Q45)),-MIN(MAX(_xlpm.cashAvail-Assumptions!$G$101,0),Q45)),_xlpm.draw))</f>
        <v>0</v>
      </c>
      <c r="R46" s="349">
        <f>IF(Assumptions!$G$187=0,0,_xlfn.LET(_xlpm.nonRevInt,R7+R13+R21+R27+R35+R41,_xlpm.ebit,'Income Statement'!R19,_xlpm.ebt_preRev,_xlpm.ebit-_xlpm.nonRevInt+'Income Statement'!R23,_xlpm.tax,IF(_xlpm.ebt_preRev&gt;0,_xlpm.ebt_preRev*Assumptions!$B$13,0),_xlpm.ni_preRev,_xlpm.ebt_preRev-_xlpm.tax,_xlpm.depr,'Income Statement'!R14,_xlpm.wc,'Cash Flow'!R14,_xlpm.cfo_preRev,_xlpm.ni_preRev+_xlpm.depr+_xlpm.wc,_xlpm.cfi,'Cash Flow'!R22,_xlpm.equity,'Cash Flow'!R25,_xlpm.debtProc,'Cash Flow'!R26+'Cash Flow'!R27,_xlpm.princ,-R70,_xlpm.dist_preRev,IF(_xlpm.ni_preRev&gt;0,-_xlpm.ni_preRev*Assumptions!$B$104,0),_xlpm.cashAvail,'Cash Flow'!Q36+_xlpm.cfo_preRev+_xlpm.cfi+_xlpm.equity+_xlpm.debtProc+_xlpm.princ+_xlpm.dist_preRev,_xlpm.draw,IF(_xlpm.cashAvail&lt;Assumptions!$G$101,MIN(Assumptions!$G$101-_xlpm.cashAvail,MAX(0,Assumptions!$G$187-R45)),-MIN(MAX(_xlpm.cashAvail-Assumptions!$G$101,0),R45)),_xlpm.draw))</f>
        <v>0</v>
      </c>
    </row>
    <row r="47" spans="1:18" ht="15.75" customHeight="1">
      <c r="A47" s="38" t="s">
        <v>581</v>
      </c>
      <c r="B47" s="349">
        <f>B45*Assumptions!$G$188/12</f>
        <v>3</v>
      </c>
      <c r="C47" s="349">
        <f>C45*Assumptions!$G$188/12</f>
        <v>3</v>
      </c>
      <c r="D47" s="349">
        <f>D45*Assumptions!$G$188/12</f>
        <v>3</v>
      </c>
      <c r="E47" s="349">
        <f>E45*Assumptions!$G$188/12</f>
        <v>3</v>
      </c>
      <c r="F47" s="349">
        <f>F45*Assumptions!$G$188/12</f>
        <v>3</v>
      </c>
      <c r="G47" s="349">
        <f>G45*Assumptions!$G$188/12</f>
        <v>3</v>
      </c>
      <c r="H47" s="349">
        <f>H45*Assumptions!$G$188/12</f>
        <v>3</v>
      </c>
      <c r="I47" s="349">
        <f>I45*Assumptions!$G$188/12</f>
        <v>3</v>
      </c>
      <c r="J47" s="349">
        <f>J45*Assumptions!$G$188/12</f>
        <v>3</v>
      </c>
      <c r="K47" s="349">
        <f>K45*Assumptions!$G$188/12</f>
        <v>3</v>
      </c>
      <c r="L47" s="349">
        <f>L45*Assumptions!$G$188/12</f>
        <v>3</v>
      </c>
      <c r="M47" s="349">
        <f>M45*Assumptions!$G$188/12</f>
        <v>3</v>
      </c>
      <c r="N47" s="468">
        <f>SUM(B47:M47)</f>
        <v>36</v>
      </c>
      <c r="O47" s="349">
        <f>IF(Assumptions!$G$187=0,0,((O45+MAX(O45+O46,0))/2)*Assumptions!$G$188)</f>
        <v>18</v>
      </c>
      <c r="P47" s="349">
        <f>IF(Assumptions!$G$187=0,0,((P45+MAX(P45+P46,0))/2)*Assumptions!$G$188)</f>
        <v>0</v>
      </c>
      <c r="Q47" s="349">
        <f>IF(Assumptions!$G$187=0,0,((Q45+MAX(Q45+Q46,0))/2)*Assumptions!$G$188)</f>
        <v>0</v>
      </c>
      <c r="R47" s="349">
        <f>IF(Assumptions!$G$187=0,0,((R45+MAX(R45+R46,0))/2)*Assumptions!$G$188)</f>
        <v>0</v>
      </c>
    </row>
    <row r="48" spans="1:18" ht="15.75" customHeight="1">
      <c r="A48" s="38" t="s">
        <v>591</v>
      </c>
      <c r="B48" s="349">
        <f>(Assumptions!$G$187-B45)*Assumptions!$G$189/12</f>
        <v>0.19999999999999998</v>
      </c>
      <c r="C48" s="349">
        <f>(Assumptions!$G$187-C45)*Assumptions!$G$189/12</f>
        <v>0.19999999999999998</v>
      </c>
      <c r="D48" s="349">
        <f>(Assumptions!$G$187-D45)*Assumptions!$G$189/12</f>
        <v>0.19999999999999998</v>
      </c>
      <c r="E48" s="349">
        <f>(Assumptions!$G$187-E45)*Assumptions!$G$189/12</f>
        <v>0.19999999999999998</v>
      </c>
      <c r="F48" s="349">
        <f>(Assumptions!$G$187-F45)*Assumptions!$G$189/12</f>
        <v>0.19999999999999998</v>
      </c>
      <c r="G48" s="349">
        <f>(Assumptions!$G$187-G45)*Assumptions!$G$189/12</f>
        <v>0.19999999999999998</v>
      </c>
      <c r="H48" s="349">
        <f>(Assumptions!$G$187-H45)*Assumptions!$G$189/12</f>
        <v>0.19999999999999998</v>
      </c>
      <c r="I48" s="349">
        <f>(Assumptions!$G$187-I45)*Assumptions!$G$189/12</f>
        <v>0.19999999999999998</v>
      </c>
      <c r="J48" s="349">
        <f>(Assumptions!$G$187-J45)*Assumptions!$G$189/12</f>
        <v>0.19999999999999998</v>
      </c>
      <c r="K48" s="349">
        <f>(Assumptions!$G$187-K45)*Assumptions!$G$189/12</f>
        <v>0.19999999999999998</v>
      </c>
      <c r="L48" s="349">
        <f>(Assumptions!$G$187-L45)*Assumptions!$G$189/12</f>
        <v>0.19999999999999998</v>
      </c>
      <c r="M48" s="349">
        <f>(Assumptions!$G$187-M45)*Assumptions!$G$189/12</f>
        <v>0.19999999999999998</v>
      </c>
      <c r="N48" s="468">
        <f>SUM(B48:M48)</f>
        <v>2.4</v>
      </c>
      <c r="O48" s="349">
        <f>IF(Assumptions!$G$187=0,0,(Assumptions!$G$187-(O45+MAX(O45+O46,0))/2)*Assumptions!$G$189)</f>
        <v>4.2</v>
      </c>
      <c r="P48" s="349">
        <f>IF(Assumptions!$G$187=0,0,(Assumptions!$G$187-(P45+MAX(P45+P46,0))/2)*Assumptions!$G$189)</f>
        <v>6</v>
      </c>
      <c r="Q48" s="349">
        <f>IF(Assumptions!$G$187=0,0,(Assumptions!$G$187-(Q45+MAX(Q45+Q46,0))/2)*Assumptions!$G$189)</f>
        <v>6</v>
      </c>
      <c r="R48" s="349">
        <f>IF(Assumptions!$G$187=0,0,(Assumptions!$G$187-(R45+MAX(R45+R46,0))/2)*Assumptions!$G$189)</f>
        <v>6</v>
      </c>
    </row>
    <row r="49" spans="1:18" ht="15.75" customHeight="1">
      <c r="A49" s="38" t="s">
        <v>583</v>
      </c>
      <c r="B49" s="349">
        <f t="shared" ref="B49:M49" si="20">B45+B46</f>
        <v>600</v>
      </c>
      <c r="C49" s="349">
        <f t="shared" si="20"/>
        <v>600</v>
      </c>
      <c r="D49" s="349">
        <f t="shared" si="20"/>
        <v>600</v>
      </c>
      <c r="E49" s="349">
        <f t="shared" si="20"/>
        <v>600</v>
      </c>
      <c r="F49" s="349">
        <f t="shared" si="20"/>
        <v>600</v>
      </c>
      <c r="G49" s="349">
        <f t="shared" si="20"/>
        <v>600</v>
      </c>
      <c r="H49" s="349">
        <f t="shared" si="20"/>
        <v>600</v>
      </c>
      <c r="I49" s="349">
        <f t="shared" si="20"/>
        <v>600</v>
      </c>
      <c r="J49" s="349">
        <f t="shared" si="20"/>
        <v>600</v>
      </c>
      <c r="K49" s="349">
        <f t="shared" si="20"/>
        <v>600</v>
      </c>
      <c r="L49" s="349">
        <f t="shared" si="20"/>
        <v>600</v>
      </c>
      <c r="M49" s="349">
        <f t="shared" si="20"/>
        <v>600</v>
      </c>
      <c r="N49" s="468">
        <f>M49</f>
        <v>600</v>
      </c>
      <c r="O49" s="349">
        <f>MAX(O45+O46,0)</f>
        <v>0</v>
      </c>
      <c r="P49" s="349">
        <f>MAX(P45+P46,0)</f>
        <v>0</v>
      </c>
      <c r="Q49" s="349">
        <f>MAX(Q45+Q46,0)</f>
        <v>0</v>
      </c>
      <c r="R49" s="349">
        <f>MAX(R45+R46,0)</f>
        <v>0</v>
      </c>
    </row>
    <row r="50" spans="1:18" ht="15.75" customHeight="1">
      <c r="A50" s="423" t="s">
        <v>592</v>
      </c>
      <c r="B50" s="349"/>
      <c r="C50" s="349"/>
      <c r="D50" s="349"/>
      <c r="E50" s="349"/>
      <c r="F50" s="349"/>
      <c r="G50" s="349"/>
      <c r="H50" s="349"/>
      <c r="I50" s="349"/>
      <c r="J50" s="349"/>
      <c r="K50" s="349"/>
      <c r="L50" s="349"/>
      <c r="M50" s="349"/>
      <c r="N50" s="468"/>
      <c r="O50" s="349"/>
      <c r="P50" s="349"/>
      <c r="Q50" s="349"/>
      <c r="R50" s="349"/>
    </row>
    <row r="51" spans="1:18" ht="15.75" customHeight="1">
      <c r="A51" s="284" t="s">
        <v>579</v>
      </c>
      <c r="B51" s="349">
        <v>0</v>
      </c>
      <c r="C51" s="349">
        <v>0</v>
      </c>
      <c r="D51" s="349">
        <v>0</v>
      </c>
      <c r="E51" s="349">
        <v>0</v>
      </c>
      <c r="F51" s="349">
        <v>0</v>
      </c>
      <c r="G51" s="349">
        <v>0</v>
      </c>
      <c r="H51" s="349">
        <v>0</v>
      </c>
      <c r="I51" s="349">
        <v>0</v>
      </c>
      <c r="J51" s="349">
        <v>0</v>
      </c>
      <c r="K51" s="431">
        <v>1400</v>
      </c>
      <c r="L51" s="349">
        <f>K55</f>
        <v>1380.4666666666667</v>
      </c>
      <c r="M51" s="349">
        <f>L55</f>
        <v>1360.8193888888889</v>
      </c>
      <c r="N51" s="496">
        <f>M51</f>
        <v>1360.8193888888889</v>
      </c>
      <c r="O51" s="349">
        <f>N55</f>
        <v>1341.0575019907408</v>
      </c>
      <c r="P51" s="349">
        <f>O55</f>
        <v>1102.5315271300926</v>
      </c>
      <c r="Q51" s="349">
        <f>P55</f>
        <v>847.30873402919917</v>
      </c>
      <c r="R51" s="349">
        <f>Q55</f>
        <v>574.22034541124322</v>
      </c>
    </row>
    <row r="52" spans="1:18" ht="15.75" customHeight="1">
      <c r="A52" s="284" t="s">
        <v>580</v>
      </c>
      <c r="B52" s="349">
        <v>0</v>
      </c>
      <c r="C52" s="349">
        <v>0</v>
      </c>
      <c r="D52" s="349">
        <v>0</v>
      </c>
      <c r="E52" s="349">
        <v>0</v>
      </c>
      <c r="F52" s="349">
        <v>0</v>
      </c>
      <c r="G52" s="349">
        <v>0</v>
      </c>
      <c r="H52" s="349">
        <v>0</v>
      </c>
      <c r="I52" s="349">
        <v>0</v>
      </c>
      <c r="J52" s="349">
        <v>0</v>
      </c>
      <c r="K52" s="349">
        <f>IF(K51&gt;0,Assumptions!$F$92,0)</f>
        <v>27.7</v>
      </c>
      <c r="L52" s="349">
        <f>IF(L51&gt;0,Assumptions!$F$92,0)</f>
        <v>27.7</v>
      </c>
      <c r="M52" s="349">
        <f>IF(M51&gt;0,Assumptions!$F$92,0)</f>
        <v>27.7</v>
      </c>
      <c r="N52" s="496">
        <f>SUM(B52:M52)</f>
        <v>83.1</v>
      </c>
      <c r="O52" s="349">
        <f>IF(O51&gt;0,Assumptions!$F$92*12,0)</f>
        <v>332.4</v>
      </c>
      <c r="P52" s="349">
        <f>IF(P51&gt;0,Assumptions!$F$92*12,0)</f>
        <v>332.4</v>
      </c>
      <c r="Q52" s="349">
        <f>IF(Q51&gt;0,Assumptions!$F$92*12,0)</f>
        <v>332.4</v>
      </c>
      <c r="R52" s="349">
        <f>IF(R51&gt;0,Assumptions!$F$92*12,0)</f>
        <v>332.4</v>
      </c>
    </row>
    <row r="53" spans="1:18" ht="15.75" customHeight="1">
      <c r="A53" s="284" t="s">
        <v>581</v>
      </c>
      <c r="B53" s="349">
        <v>0</v>
      </c>
      <c r="C53" s="349">
        <v>0</v>
      </c>
      <c r="D53" s="349">
        <v>0</v>
      </c>
      <c r="E53" s="349">
        <v>0</v>
      </c>
      <c r="F53" s="349">
        <v>0</v>
      </c>
      <c r="G53" s="349">
        <v>0</v>
      </c>
      <c r="H53" s="349">
        <v>0</v>
      </c>
      <c r="I53" s="349">
        <v>0</v>
      </c>
      <c r="J53" s="349">
        <v>0</v>
      </c>
      <c r="K53" s="349">
        <f>K51*Assumptions!$D$92/12</f>
        <v>8.1666666666666679</v>
      </c>
      <c r="L53" s="349">
        <f>L51*Assumptions!$D$92/12</f>
        <v>8.0527222222222239</v>
      </c>
      <c r="M53" s="349">
        <f>M51*Assumptions!$D$92/12</f>
        <v>7.9381131018518518</v>
      </c>
      <c r="N53" s="496">
        <f>SUM(B53:M53)</f>
        <v>24.157501990740744</v>
      </c>
      <c r="O53" s="349">
        <f>O51*Assumptions!$D$92</f>
        <v>93.874025139351858</v>
      </c>
      <c r="P53" s="349">
        <f>P51*Assumptions!$D$92</f>
        <v>77.177206899106494</v>
      </c>
      <c r="Q53" s="349">
        <f>Q51*Assumptions!$D$92</f>
        <v>59.311611382043949</v>
      </c>
      <c r="R53" s="349">
        <f>R51*Assumptions!$D$92</f>
        <v>40.195424178787029</v>
      </c>
    </row>
    <row r="54" spans="1:18" ht="15.75" customHeight="1">
      <c r="A54" s="284" t="s">
        <v>582</v>
      </c>
      <c r="B54" s="349">
        <v>0</v>
      </c>
      <c r="C54" s="349">
        <v>0</v>
      </c>
      <c r="D54" s="349">
        <v>0</v>
      </c>
      <c r="E54" s="349">
        <v>0</v>
      </c>
      <c r="F54" s="349">
        <v>0</v>
      </c>
      <c r="G54" s="349">
        <v>0</v>
      </c>
      <c r="H54" s="349">
        <v>0</v>
      </c>
      <c r="I54" s="349">
        <v>0</v>
      </c>
      <c r="J54" s="349">
        <v>0</v>
      </c>
      <c r="K54" s="349">
        <f>K52-K53</f>
        <v>19.533333333333331</v>
      </c>
      <c r="L54" s="349">
        <f>L52-L53</f>
        <v>19.647277777777774</v>
      </c>
      <c r="M54" s="349">
        <f>M52-M53</f>
        <v>19.761886898148148</v>
      </c>
      <c r="N54" s="496">
        <f>SUM(B54:M54)</f>
        <v>58.942498009259253</v>
      </c>
      <c r="O54" s="349">
        <f>O52-O53</f>
        <v>238.52597486064812</v>
      </c>
      <c r="P54" s="349">
        <f>P52-P53</f>
        <v>255.22279310089348</v>
      </c>
      <c r="Q54" s="349">
        <f>Q52-Q53</f>
        <v>273.08838861795601</v>
      </c>
      <c r="R54" s="349">
        <f>R52-R53</f>
        <v>292.20457582121293</v>
      </c>
    </row>
    <row r="55" spans="1:18" ht="15.75" customHeight="1">
      <c r="A55" s="284" t="s">
        <v>583</v>
      </c>
      <c r="B55" s="348">
        <v>0</v>
      </c>
      <c r="C55" s="348">
        <v>0</v>
      </c>
      <c r="D55" s="348">
        <v>0</v>
      </c>
      <c r="E55" s="348">
        <v>0</v>
      </c>
      <c r="F55" s="348">
        <v>0</v>
      </c>
      <c r="G55" s="348">
        <v>0</v>
      </c>
      <c r="H55" s="348">
        <v>0</v>
      </c>
      <c r="I55" s="348">
        <v>0</v>
      </c>
      <c r="J55" s="348">
        <v>0</v>
      </c>
      <c r="K55" s="348">
        <f>MAX(K51-K54,0)</f>
        <v>1380.4666666666667</v>
      </c>
      <c r="L55" s="348">
        <f>MAX(L51-L54,0)</f>
        <v>1360.8193888888889</v>
      </c>
      <c r="M55" s="348">
        <f>MAX(M51-M54,0)</f>
        <v>1341.0575019907408</v>
      </c>
      <c r="N55" s="497">
        <f>M55</f>
        <v>1341.0575019907408</v>
      </c>
      <c r="O55" s="348">
        <f>MAX(O51-O54,0)</f>
        <v>1102.5315271300926</v>
      </c>
      <c r="P55" s="348">
        <f>MAX(P51-P54,0)</f>
        <v>847.30873402919917</v>
      </c>
      <c r="Q55" s="348">
        <f>MAX(Q51-Q54,0)</f>
        <v>574.22034541124322</v>
      </c>
      <c r="R55" s="348">
        <f>MAX(R51-R54,0)</f>
        <v>282.01576959003029</v>
      </c>
    </row>
    <row r="56" spans="1:18" ht="15.75" customHeight="1">
      <c r="A56" s="38"/>
      <c r="B56" s="349"/>
      <c r="C56" s="349"/>
      <c r="D56" s="349"/>
      <c r="E56" s="349"/>
      <c r="F56" s="349"/>
      <c r="G56" s="349"/>
      <c r="H56" s="349"/>
      <c r="I56" s="349"/>
      <c r="J56" s="349"/>
      <c r="K56" s="349"/>
      <c r="L56" s="349"/>
      <c r="M56" s="349"/>
      <c r="N56" s="468"/>
      <c r="O56" s="349"/>
      <c r="P56" s="349"/>
      <c r="Q56" s="349"/>
      <c r="R56" s="349"/>
    </row>
    <row r="57" spans="1:18" ht="15.75" customHeight="1">
      <c r="A57" s="423" t="s">
        <v>593</v>
      </c>
      <c r="B57" s="349"/>
      <c r="C57" s="349"/>
      <c r="D57" s="349"/>
      <c r="E57" s="349"/>
      <c r="F57" s="349"/>
      <c r="G57" s="349"/>
      <c r="H57" s="349"/>
      <c r="I57" s="349"/>
      <c r="J57" s="349"/>
      <c r="K57" s="349"/>
      <c r="L57" s="349"/>
      <c r="M57" s="349"/>
      <c r="N57" s="468"/>
      <c r="O57" s="349"/>
      <c r="P57" s="349"/>
      <c r="Q57" s="349"/>
      <c r="R57" s="349"/>
    </row>
    <row r="58" spans="1:18" ht="15.75" customHeight="1">
      <c r="A58" s="284" t="s">
        <v>579</v>
      </c>
      <c r="B58" s="349">
        <v>0</v>
      </c>
      <c r="C58" s="349">
        <v>0</v>
      </c>
      <c r="D58" s="349">
        <v>0</v>
      </c>
      <c r="E58" s="349">
        <v>0</v>
      </c>
      <c r="F58" s="349">
        <v>0</v>
      </c>
      <c r="G58" s="349">
        <v>0</v>
      </c>
      <c r="H58" s="349">
        <v>0</v>
      </c>
      <c r="I58" s="349">
        <v>0</v>
      </c>
      <c r="J58" s="349">
        <v>0</v>
      </c>
      <c r="K58" s="431">
        <v>300</v>
      </c>
      <c r="L58" s="349">
        <f>K62</f>
        <v>296.05</v>
      </c>
      <c r="M58" s="349">
        <f>L62</f>
        <v>292.07037500000001</v>
      </c>
      <c r="N58" s="496">
        <f>M58</f>
        <v>292.07037500000001</v>
      </c>
      <c r="O58" s="349">
        <f>N62</f>
        <v>288.06090281249999</v>
      </c>
      <c r="P58" s="349">
        <f>O62</f>
        <v>239.586384065625</v>
      </c>
      <c r="Q58" s="349">
        <f>P62</f>
        <v>186.74915863153126</v>
      </c>
      <c r="R58" s="349">
        <f>Q62</f>
        <v>129.15658290836907</v>
      </c>
    </row>
    <row r="59" spans="1:18" ht="15.75" customHeight="1">
      <c r="A59" s="284" t="s">
        <v>580</v>
      </c>
      <c r="B59" s="349">
        <v>0</v>
      </c>
      <c r="C59" s="349">
        <v>0</v>
      </c>
      <c r="D59" s="349">
        <v>0</v>
      </c>
      <c r="E59" s="349">
        <v>0</v>
      </c>
      <c r="F59" s="349">
        <v>0</v>
      </c>
      <c r="G59" s="349">
        <v>0</v>
      </c>
      <c r="H59" s="349">
        <v>0</v>
      </c>
      <c r="I59" s="349">
        <v>0</v>
      </c>
      <c r="J59" s="349">
        <v>0</v>
      </c>
      <c r="K59" s="349">
        <f>IF(K58&gt;0,Assumptions!$F$93,0)</f>
        <v>6.2</v>
      </c>
      <c r="L59" s="349">
        <f>IF(L58&gt;0,Assumptions!$F$93,0)</f>
        <v>6.2</v>
      </c>
      <c r="M59" s="349">
        <f>IF(M58&gt;0,Assumptions!$F$93,0)</f>
        <v>6.2</v>
      </c>
      <c r="N59" s="496">
        <f>SUM(B59:M59)</f>
        <v>18.600000000000001</v>
      </c>
      <c r="O59" s="349">
        <f>IF(O58&gt;0,Assumptions!$F$93*12,0)</f>
        <v>74.400000000000006</v>
      </c>
      <c r="P59" s="349">
        <f>IF(P58&gt;0,Assumptions!$F$93*12,0)</f>
        <v>74.400000000000006</v>
      </c>
      <c r="Q59" s="349">
        <f>IF(Q58&gt;0,Assumptions!$F$93*12,0)</f>
        <v>74.400000000000006</v>
      </c>
      <c r="R59" s="349">
        <f>IF(R58&gt;0,Assumptions!$F$93*12,0)</f>
        <v>74.400000000000006</v>
      </c>
    </row>
    <row r="60" spans="1:18" ht="15.75" customHeight="1">
      <c r="A60" s="284" t="s">
        <v>581</v>
      </c>
      <c r="B60" s="349">
        <v>0</v>
      </c>
      <c r="C60" s="349">
        <v>0</v>
      </c>
      <c r="D60" s="349">
        <v>0</v>
      </c>
      <c r="E60" s="349">
        <v>0</v>
      </c>
      <c r="F60" s="349">
        <v>0</v>
      </c>
      <c r="G60" s="349">
        <v>0</v>
      </c>
      <c r="H60" s="349">
        <v>0</v>
      </c>
      <c r="I60" s="349">
        <v>0</v>
      </c>
      <c r="J60" s="349">
        <v>0</v>
      </c>
      <c r="K60" s="349">
        <f>K58*Assumptions!$D$93/12</f>
        <v>2.25</v>
      </c>
      <c r="L60" s="349">
        <f>L58*Assumptions!$D$93/12</f>
        <v>2.2203750000000002</v>
      </c>
      <c r="M60" s="349">
        <f>M58*Assumptions!$D$93/12</f>
        <v>2.1905278125000001</v>
      </c>
      <c r="N60" s="496">
        <f>SUM(B60:M60)</f>
        <v>6.6609028125000007</v>
      </c>
      <c r="O60" s="349">
        <f>O58*Assumptions!$D$93</f>
        <v>25.925481253125</v>
      </c>
      <c r="P60" s="349">
        <f>P58*Assumptions!$D$93</f>
        <v>21.562774565906249</v>
      </c>
      <c r="Q60" s="349">
        <f>Q58*Assumptions!$D$93</f>
        <v>16.807424276837814</v>
      </c>
      <c r="R60" s="349">
        <f>R58*Assumptions!$D$93</f>
        <v>11.624092461753216</v>
      </c>
    </row>
    <row r="61" spans="1:18" ht="15.75" customHeight="1">
      <c r="A61" s="284" t="s">
        <v>582</v>
      </c>
      <c r="B61" s="349">
        <v>0</v>
      </c>
      <c r="C61" s="349">
        <v>0</v>
      </c>
      <c r="D61" s="349">
        <v>0</v>
      </c>
      <c r="E61" s="349">
        <v>0</v>
      </c>
      <c r="F61" s="349">
        <v>0</v>
      </c>
      <c r="G61" s="349">
        <v>0</v>
      </c>
      <c r="H61" s="349">
        <v>0</v>
      </c>
      <c r="I61" s="349">
        <v>0</v>
      </c>
      <c r="J61" s="349">
        <v>0</v>
      </c>
      <c r="K61" s="349">
        <f>K59-K60</f>
        <v>3.95</v>
      </c>
      <c r="L61" s="349">
        <f>L59-L60</f>
        <v>3.979625</v>
      </c>
      <c r="M61" s="349">
        <f>M59-M60</f>
        <v>4.0094721875000001</v>
      </c>
      <c r="N61" s="496">
        <f>SUM(B61:M61)</f>
        <v>11.9390971875</v>
      </c>
      <c r="O61" s="349">
        <f>O59-O60</f>
        <v>48.474518746875006</v>
      </c>
      <c r="P61" s="349">
        <f>P59-P60</f>
        <v>52.837225434093753</v>
      </c>
      <c r="Q61" s="349">
        <f>Q59-Q60</f>
        <v>57.592575723162192</v>
      </c>
      <c r="R61" s="349">
        <f>R59-R60</f>
        <v>62.775907538246791</v>
      </c>
    </row>
    <row r="62" spans="1:18" ht="15.75" customHeight="1">
      <c r="A62" s="38" t="s">
        <v>583</v>
      </c>
      <c r="B62" s="348">
        <v>0</v>
      </c>
      <c r="C62" s="348">
        <v>0</v>
      </c>
      <c r="D62" s="348">
        <v>0</v>
      </c>
      <c r="E62" s="348">
        <v>0</v>
      </c>
      <c r="F62" s="348">
        <v>0</v>
      </c>
      <c r="G62" s="348">
        <v>0</v>
      </c>
      <c r="H62" s="348">
        <v>0</v>
      </c>
      <c r="I62" s="348">
        <v>0</v>
      </c>
      <c r="J62" s="348">
        <v>0</v>
      </c>
      <c r="K62" s="348">
        <f>MAX(K58-K61,0)</f>
        <v>296.05</v>
      </c>
      <c r="L62" s="348">
        <f>MAX(L58-L61,0)</f>
        <v>292.07037500000001</v>
      </c>
      <c r="M62" s="348">
        <f>MAX(M58-M61,0)</f>
        <v>288.06090281249999</v>
      </c>
      <c r="N62" s="497">
        <f>M62</f>
        <v>288.06090281249999</v>
      </c>
      <c r="O62" s="348">
        <f>MAX(O58-O61,0)</f>
        <v>239.586384065625</v>
      </c>
      <c r="P62" s="348">
        <f>MAX(P58-P61,0)</f>
        <v>186.74915863153126</v>
      </c>
      <c r="Q62" s="348">
        <f>MAX(Q58-Q61,0)</f>
        <v>129.15658290836907</v>
      </c>
      <c r="R62" s="348">
        <f>MAX(R58-R61,0)</f>
        <v>66.380675370122276</v>
      </c>
    </row>
    <row r="63" spans="1:18" ht="15.75" customHeight="1">
      <c r="A63" s="38"/>
      <c r="B63" s="349"/>
      <c r="C63" s="349"/>
      <c r="D63" s="349"/>
      <c r="E63" s="349"/>
      <c r="F63" s="349"/>
      <c r="G63" s="349"/>
      <c r="H63" s="349"/>
      <c r="I63" s="349"/>
      <c r="J63" s="349"/>
      <c r="K63" s="349"/>
      <c r="L63" s="349"/>
      <c r="M63" s="349"/>
      <c r="N63" s="468"/>
      <c r="O63" s="349"/>
      <c r="P63" s="349"/>
      <c r="Q63" s="349"/>
      <c r="R63" s="349"/>
    </row>
    <row r="64" spans="1:18" ht="15.75" customHeight="1">
      <c r="A64" s="38"/>
      <c r="B64" s="349"/>
      <c r="C64" s="349"/>
      <c r="D64" s="349"/>
      <c r="E64" s="349"/>
      <c r="F64" s="349"/>
      <c r="G64" s="349"/>
      <c r="H64" s="349"/>
      <c r="I64" s="349"/>
      <c r="J64" s="349"/>
      <c r="K64" s="349"/>
      <c r="L64" s="349"/>
      <c r="M64" s="349"/>
      <c r="N64" s="468"/>
      <c r="O64" s="349"/>
      <c r="P64" s="349"/>
      <c r="Q64" s="349"/>
      <c r="R64" s="349"/>
    </row>
    <row r="65" spans="1:18" ht="15.75" customHeight="1">
      <c r="A65" s="38"/>
      <c r="B65" s="349"/>
      <c r="C65" s="349"/>
      <c r="D65" s="349"/>
      <c r="E65" s="349"/>
      <c r="F65" s="349"/>
      <c r="G65" s="349"/>
      <c r="H65" s="349"/>
      <c r="I65" s="349"/>
      <c r="J65" s="349"/>
      <c r="K65" s="349"/>
      <c r="L65" s="349"/>
      <c r="M65" s="349"/>
      <c r="N65" s="468"/>
      <c r="O65" s="349"/>
      <c r="P65" s="349"/>
      <c r="Q65" s="349"/>
      <c r="R65" s="349"/>
    </row>
    <row r="66" spans="1:18" ht="15.75" customHeight="1">
      <c r="A66" s="247"/>
      <c r="B66" s="259"/>
      <c r="C66" s="259"/>
      <c r="D66" s="259"/>
      <c r="E66" s="259"/>
      <c r="F66" s="259"/>
      <c r="G66" s="259"/>
      <c r="H66" s="259"/>
      <c r="I66" s="259"/>
      <c r="J66" s="259"/>
      <c r="K66" s="259"/>
      <c r="L66" s="259"/>
      <c r="M66" s="259"/>
      <c r="N66" s="454"/>
      <c r="O66" s="259"/>
      <c r="P66" s="259"/>
      <c r="Q66" s="259"/>
      <c r="R66" s="259"/>
    </row>
    <row r="67" spans="1:18" ht="15.75" customHeight="1">
      <c r="A67" s="64" t="s">
        <v>594</v>
      </c>
      <c r="B67" s="286"/>
      <c r="C67" s="286"/>
      <c r="D67" s="286"/>
      <c r="E67" s="286"/>
      <c r="F67" s="286"/>
      <c r="G67" s="286"/>
      <c r="H67" s="286"/>
      <c r="I67" s="286"/>
      <c r="J67" s="286"/>
      <c r="K67" s="286"/>
      <c r="L67" s="286"/>
      <c r="M67" s="286"/>
      <c r="N67" s="492"/>
      <c r="O67" s="286"/>
      <c r="P67" s="286"/>
      <c r="Q67" s="286"/>
      <c r="R67" s="286"/>
    </row>
    <row r="68" spans="1:18" ht="15.75" customHeight="1">
      <c r="A68" s="38" t="s">
        <v>595</v>
      </c>
      <c r="B68" s="336">
        <f t="shared" ref="B68:M68" si="21">B9+B15+B23+B29+B37+B43+B49+B55+B62</f>
        <v>2852.4583333333335</v>
      </c>
      <c r="C68" s="336">
        <f t="shared" si="21"/>
        <v>2804.6153993055555</v>
      </c>
      <c r="D68" s="336">
        <f t="shared" si="21"/>
        <v>2756.4692645934606</v>
      </c>
      <c r="E68" s="336">
        <f t="shared" si="21"/>
        <v>2708.0179833190796</v>
      </c>
      <c r="F68" s="336">
        <f t="shared" si="21"/>
        <v>3398.7345969672538</v>
      </c>
      <c r="G68" s="336">
        <f t="shared" si="21"/>
        <v>3339.0807384693276</v>
      </c>
      <c r="H68" s="336">
        <f t="shared" si="21"/>
        <v>3279.0540656439293</v>
      </c>
      <c r="I68" s="336">
        <f t="shared" si="21"/>
        <v>3218.6522213327594</v>
      </c>
      <c r="J68" s="336">
        <f t="shared" si="21"/>
        <v>3157.8728333037666</v>
      </c>
      <c r="K68" s="336">
        <f t="shared" si="21"/>
        <v>4773.2301808203592</v>
      </c>
      <c r="L68" s="336">
        <f t="shared" si="21"/>
        <v>4688.0616250988714</v>
      </c>
      <c r="M68" s="336">
        <f t="shared" si="21"/>
        <v>4602.3638612352934</v>
      </c>
      <c r="N68" s="455">
        <f>M68</f>
        <v>4602.3638612352934</v>
      </c>
      <c r="O68" s="336">
        <f>O9+O15+O23+O29+O37+O43+O49+O55+O62</f>
        <v>2967.600286186087</v>
      </c>
      <c r="P68" s="336">
        <f>P9+P15+P23+P29+P37+P43+P49+P55+P62</f>
        <v>2123.0705771217554</v>
      </c>
      <c r="Q68" s="336">
        <f>Q9+Q15+Q23+Q29+Q37+Q43+Q49+Q55+Q62</f>
        <v>1330.7031842919205</v>
      </c>
      <c r="R68" s="336">
        <f>R9+R15+R23+R29+R37+R43+R49+R55+R62</f>
        <v>477.06525055544989</v>
      </c>
    </row>
    <row r="69" spans="1:18" ht="15.75" customHeight="1">
      <c r="A69" s="38" t="s">
        <v>596</v>
      </c>
      <c r="B69" s="336">
        <f t="shared" ref="B69:M69" si="22">B7+B13+B21+B27+B35+B41+B47+B48+B53+B60</f>
        <v>18.458333333333332</v>
      </c>
      <c r="C69" s="336">
        <f t="shared" si="22"/>
        <v>18.157065972222224</v>
      </c>
      <c r="D69" s="336">
        <f t="shared" si="22"/>
        <v>17.853865287905091</v>
      </c>
      <c r="E69" s="336">
        <f t="shared" si="22"/>
        <v>17.548718725619093</v>
      </c>
      <c r="F69" s="336">
        <f t="shared" si="22"/>
        <v>21.61661364817428</v>
      </c>
      <c r="G69" s="336">
        <f t="shared" si="22"/>
        <v>21.246141502073694</v>
      </c>
      <c r="H69" s="336">
        <f t="shared" si="22"/>
        <v>20.873327174602046</v>
      </c>
      <c r="I69" s="336">
        <f t="shared" si="22"/>
        <v>20.498155688830224</v>
      </c>
      <c r="J69" s="336">
        <f t="shared" si="22"/>
        <v>20.12061197100688</v>
      </c>
      <c r="K69" s="336">
        <f t="shared" si="22"/>
        <v>30.157347516592672</v>
      </c>
      <c r="L69" s="336">
        <f t="shared" si="22"/>
        <v>29.631444278512529</v>
      </c>
      <c r="M69" s="336">
        <f t="shared" si="22"/>
        <v>29.102236136422221</v>
      </c>
      <c r="N69" s="455">
        <f>SUM(B69:M69)</f>
        <v>265.26386123529426</v>
      </c>
      <c r="O69" s="336">
        <f>O7+O13+O21+O27+O35+O41+O47+O48+O53+O60</f>
        <v>326.63642495079301</v>
      </c>
      <c r="P69" s="336">
        <f>P7+P13+P21+P27+P35+P41+P47+P48+P53+P60</f>
        <v>233.26954388397419</v>
      </c>
      <c r="Q69" s="336">
        <f>Q7+Q13+Q21+Q27+Q35+Q41+Q47+Q48+Q53+Q60</f>
        <v>168.83260717016512</v>
      </c>
      <c r="R69" s="336">
        <f>R7+R13+R21+R27+R35+R41+R47+R48+R53+R60</f>
        <v>107.5620662635294</v>
      </c>
    </row>
    <row r="70" spans="1:18" ht="15.75" customHeight="1">
      <c r="A70" s="247" t="s">
        <v>597</v>
      </c>
      <c r="B70" s="350">
        <f t="shared" ref="B70:M70" si="23">B8+B14+B22+B28+B36+B42+B54+B61</f>
        <v>47.541666666666664</v>
      </c>
      <c r="C70" s="350">
        <f t="shared" si="23"/>
        <v>47.84293402777778</v>
      </c>
      <c r="D70" s="350">
        <f t="shared" si="23"/>
        <v>48.146134712094906</v>
      </c>
      <c r="E70" s="350">
        <f t="shared" si="23"/>
        <v>48.451281274380904</v>
      </c>
      <c r="F70" s="350">
        <f t="shared" si="23"/>
        <v>59.283386351825719</v>
      </c>
      <c r="G70" s="350">
        <f t="shared" si="23"/>
        <v>59.653858497926308</v>
      </c>
      <c r="H70" s="350">
        <f t="shared" si="23"/>
        <v>60.026672825397959</v>
      </c>
      <c r="I70" s="350">
        <f t="shared" si="23"/>
        <v>60.401844311169782</v>
      </c>
      <c r="J70" s="350">
        <f t="shared" si="23"/>
        <v>60.779388028993125</v>
      </c>
      <c r="K70" s="350">
        <f t="shared" si="23"/>
        <v>84.642652483407332</v>
      </c>
      <c r="L70" s="350">
        <f t="shared" si="23"/>
        <v>85.168555721487479</v>
      </c>
      <c r="M70" s="350">
        <f t="shared" si="23"/>
        <v>85.697763863577762</v>
      </c>
      <c r="N70" s="498">
        <f>SUM(B70:M70)</f>
        <v>747.63613876470572</v>
      </c>
      <c r="O70" s="350">
        <f>O8+O14+O22+O28+O36+O42+O54+O61</f>
        <v>1034.763575049207</v>
      </c>
      <c r="P70" s="350">
        <f>P8+P14+P22+P28+P36+P42+P54+P61</f>
        <v>844.52970906433143</v>
      </c>
      <c r="Q70" s="350">
        <f>Q8+Q14+Q22+Q28+Q36+Q42+Q54+Q61</f>
        <v>792.36739282983501</v>
      </c>
      <c r="R70" s="350">
        <f>R8+R14+R22+R28+R36+R42+R54+R61</f>
        <v>853.63793373647059</v>
      </c>
    </row>
    <row r="71" spans="1:18" ht="16.5" customHeight="1">
      <c r="A71" s="38" t="s">
        <v>598</v>
      </c>
      <c r="B71" s="333">
        <f t="shared" ref="B71:R71" si="24">B69+B70</f>
        <v>66</v>
      </c>
      <c r="C71" s="333">
        <f t="shared" si="24"/>
        <v>66</v>
      </c>
      <c r="D71" s="333">
        <f t="shared" si="24"/>
        <v>66</v>
      </c>
      <c r="E71" s="333">
        <f t="shared" si="24"/>
        <v>66</v>
      </c>
      <c r="F71" s="333">
        <f t="shared" si="24"/>
        <v>80.900000000000006</v>
      </c>
      <c r="G71" s="333">
        <f t="shared" si="24"/>
        <v>80.900000000000006</v>
      </c>
      <c r="H71" s="333">
        <f t="shared" si="24"/>
        <v>80.900000000000006</v>
      </c>
      <c r="I71" s="333">
        <f t="shared" si="24"/>
        <v>80.900000000000006</v>
      </c>
      <c r="J71" s="333">
        <f t="shared" si="24"/>
        <v>80.900000000000006</v>
      </c>
      <c r="K71" s="333">
        <f t="shared" si="24"/>
        <v>114.80000000000001</v>
      </c>
      <c r="L71" s="333">
        <f t="shared" si="24"/>
        <v>114.80000000000001</v>
      </c>
      <c r="M71" s="333">
        <f t="shared" si="24"/>
        <v>114.79999999999998</v>
      </c>
      <c r="N71" s="441">
        <f t="shared" si="24"/>
        <v>1012.9</v>
      </c>
      <c r="O71" s="333">
        <f t="shared" si="24"/>
        <v>1361.4</v>
      </c>
      <c r="P71" s="333">
        <f t="shared" si="24"/>
        <v>1077.7992529483056</v>
      </c>
      <c r="Q71" s="333">
        <f t="shared" si="24"/>
        <v>961.20000000000016</v>
      </c>
      <c r="R71" s="333">
        <f t="shared" si="24"/>
        <v>961.2</v>
      </c>
    </row>
    <row r="72" spans="1:18" ht="15.75" customHeight="1">
      <c r="A72" s="247"/>
      <c r="B72" s="259"/>
      <c r="C72" s="259"/>
      <c r="D72" s="259"/>
      <c r="E72" s="259"/>
      <c r="F72" s="259"/>
      <c r="G72" s="259"/>
      <c r="H72" s="259"/>
      <c r="I72" s="259"/>
      <c r="J72" s="259"/>
      <c r="K72" s="259"/>
      <c r="L72" s="259"/>
      <c r="M72" s="259"/>
      <c r="N72" s="454"/>
      <c r="O72" s="259"/>
      <c r="P72" s="259"/>
      <c r="Q72" s="259"/>
      <c r="R72" s="259"/>
    </row>
    <row r="73" spans="1:18" ht="15.75" customHeight="1">
      <c r="A73" s="64" t="s">
        <v>599</v>
      </c>
      <c r="B73" s="286"/>
      <c r="C73" s="286"/>
      <c r="D73" s="286"/>
      <c r="E73" s="286"/>
      <c r="F73" s="286"/>
      <c r="G73" s="286"/>
      <c r="H73" s="286"/>
      <c r="I73" s="286"/>
      <c r="J73" s="286"/>
      <c r="K73" s="286"/>
      <c r="L73" s="286"/>
      <c r="M73" s="286"/>
      <c r="N73" s="499"/>
      <c r="O73" s="286"/>
      <c r="P73" s="286"/>
      <c r="Q73" s="286"/>
      <c r="R73" s="286"/>
    </row>
    <row r="74" spans="1:18" ht="15.75" customHeight="1">
      <c r="A74" s="39" t="s">
        <v>600</v>
      </c>
      <c r="B74" s="254">
        <f>'Income Statement'!B30*12</f>
        <v>716.75023930044415</v>
      </c>
      <c r="C74" s="254">
        <f>SUM('Income Statement'!B30:'Income Statement'!C30)*(12/2)</f>
        <v>734.26023498380255</v>
      </c>
      <c r="D74" s="254">
        <f>SUM('Income Statement'!B30:'Income Statement'!D30)*(12/3)</f>
        <v>817.16160941317116</v>
      </c>
      <c r="E74" s="254">
        <f>SUM('Income Statement'!B30:'Income Statement'!E30)*(12/4)</f>
        <v>923.31017095065295</v>
      </c>
      <c r="F74" s="254">
        <f>SUM('Income Statement'!B30:'Income Statement'!F30)*(12/5)</f>
        <v>1035.1285193313804</v>
      </c>
      <c r="G74" s="254">
        <f>SUM('Income Statement'!B30:'Income Statement'!G30)*(12/6)</f>
        <v>1130.4626986261098</v>
      </c>
      <c r="H74" s="254">
        <f>SUM('Income Statement'!B30:'Income Statement'!H30)*(12/7)</f>
        <v>1213.3757678020934</v>
      </c>
      <c r="I74" s="254">
        <f>SUM('Income Statement'!B30:'Income Statement'!I30)*(12/8)</f>
        <v>1267.9377286677102</v>
      </c>
      <c r="J74" s="254">
        <f>SUM('Income Statement'!B30:'Income Statement'!J30)*(12/9)</f>
        <v>1277.4642146925189</v>
      </c>
      <c r="K74" s="254">
        <f>SUM('Income Statement'!B30:'Income Statement'!K30)*(12/10)</f>
        <v>1250.9666733252357</v>
      </c>
      <c r="L74" s="254">
        <f>SUM('Income Statement'!B30:'Income Statement'!L30)*(12/11)</f>
        <v>1199.0749345824465</v>
      </c>
      <c r="M74" s="254">
        <f>SUM('Income Statement'!B30:'Income Statement'!M30)</f>
        <v>1152.4848049999994</v>
      </c>
      <c r="N74" s="449">
        <f>'Income Statement'!N30</f>
        <v>1152.4848050000012</v>
      </c>
      <c r="O74" s="254">
        <f>'Income Statement'!O30</f>
        <v>1800.6760000000022</v>
      </c>
      <c r="P74" s="254">
        <f>'Income Statement'!P30</f>
        <v>2565.3756799999992</v>
      </c>
      <c r="Q74" s="254">
        <f>'Income Statement'!Q30</f>
        <v>3442.6023872000005</v>
      </c>
      <c r="R74" s="254">
        <f>'Income Statement'!R30</f>
        <v>4336.0739226879996</v>
      </c>
    </row>
    <row r="75" spans="1:18" ht="15.75" customHeight="1">
      <c r="A75" s="39" t="s">
        <v>601</v>
      </c>
      <c r="B75" s="254">
        <f t="shared" ref="B75:R75" si="25">IF(B74&gt;0,B68/B74,"N/A")</f>
        <v>3.9797103327337053</v>
      </c>
      <c r="C75" s="254">
        <f t="shared" si="25"/>
        <v>3.8196476748702373</v>
      </c>
      <c r="D75" s="254">
        <f t="shared" si="25"/>
        <v>3.3732241368668383</v>
      </c>
      <c r="E75" s="254">
        <f t="shared" si="25"/>
        <v>2.932945036802602</v>
      </c>
      <c r="F75" s="254">
        <f t="shared" si="25"/>
        <v>3.2833938332242987</v>
      </c>
      <c r="G75" s="254">
        <f t="shared" si="25"/>
        <v>2.953729249560757</v>
      </c>
      <c r="H75" s="254">
        <f t="shared" si="25"/>
        <v>2.7024225739925578</v>
      </c>
      <c r="I75" s="254">
        <f t="shared" si="25"/>
        <v>2.5384939248670904</v>
      </c>
      <c r="J75" s="254">
        <f t="shared" si="25"/>
        <v>2.4719853573854165</v>
      </c>
      <c r="K75" s="254">
        <f t="shared" si="25"/>
        <v>3.815633367859816</v>
      </c>
      <c r="L75" s="254">
        <f t="shared" si="25"/>
        <v>3.9097319857923587</v>
      </c>
      <c r="M75" s="254">
        <f t="shared" si="25"/>
        <v>3.9934269339328043</v>
      </c>
      <c r="N75" s="449">
        <f t="shared" si="25"/>
        <v>3.9934269339327981</v>
      </c>
      <c r="O75" s="254">
        <f t="shared" si="25"/>
        <v>1.648047892117229</v>
      </c>
      <c r="P75" s="254">
        <f t="shared" si="25"/>
        <v>0.82758661574345171</v>
      </c>
      <c r="Q75" s="254">
        <f t="shared" si="25"/>
        <v>0.38653990052398468</v>
      </c>
      <c r="R75" s="254">
        <f t="shared" si="25"/>
        <v>0.11002239792528946</v>
      </c>
    </row>
    <row r="76" spans="1:18" ht="15.75" customHeight="1">
      <c r="A76" s="288" t="s">
        <v>602</v>
      </c>
      <c r="B76" s="351">
        <f>Assumptions!$G$98</f>
        <v>3.5</v>
      </c>
      <c r="C76" s="351">
        <f>Assumptions!$G$98</f>
        <v>3.5</v>
      </c>
      <c r="D76" s="351">
        <f>Assumptions!$G$98</f>
        <v>3.5</v>
      </c>
      <c r="E76" s="351">
        <f>Assumptions!$G$98</f>
        <v>3.5</v>
      </c>
      <c r="F76" s="351">
        <f>Assumptions!$G$98</f>
        <v>3.5</v>
      </c>
      <c r="G76" s="351">
        <f>Assumptions!$G$98</f>
        <v>3.5</v>
      </c>
      <c r="H76" s="351">
        <f>Assumptions!$G$98</f>
        <v>3.5</v>
      </c>
      <c r="I76" s="351">
        <f>Assumptions!$G$98</f>
        <v>3.5</v>
      </c>
      <c r="J76" s="351">
        <f>Assumptions!$G$98</f>
        <v>3.5</v>
      </c>
      <c r="K76" s="351">
        <f>Assumptions!$G$98</f>
        <v>3.5</v>
      </c>
      <c r="L76" s="351">
        <f>Assumptions!$G$98</f>
        <v>3.5</v>
      </c>
      <c r="M76" s="351">
        <f>Assumptions!$G$98</f>
        <v>3.5</v>
      </c>
      <c r="N76" s="500">
        <f>Assumptions!$G$98</f>
        <v>3.5</v>
      </c>
      <c r="O76" s="351">
        <f>Assumptions!$G$98</f>
        <v>3.5</v>
      </c>
      <c r="P76" s="351">
        <f>Assumptions!$G$98</f>
        <v>3.5</v>
      </c>
      <c r="Q76" s="351">
        <f>Assumptions!$G$98</f>
        <v>3.5</v>
      </c>
      <c r="R76" s="351">
        <f>Assumptions!$G$98</f>
        <v>3.5</v>
      </c>
    </row>
    <row r="77" spans="1:18" ht="15.75" customHeight="1">
      <c r="A77" s="284" t="s">
        <v>603</v>
      </c>
      <c r="B77" s="352" t="s">
        <v>604</v>
      </c>
      <c r="C77" s="352" t="s">
        <v>604</v>
      </c>
      <c r="D77" s="353" t="s">
        <v>604</v>
      </c>
      <c r="E77" s="353" t="s">
        <v>604</v>
      </c>
      <c r="F77" s="353" t="s">
        <v>604</v>
      </c>
      <c r="G77" s="353" t="s">
        <v>604</v>
      </c>
      <c r="H77" s="353" t="s">
        <v>604</v>
      </c>
      <c r="I77" s="353" t="s">
        <v>604</v>
      </c>
      <c r="J77" s="353" t="s">
        <v>604</v>
      </c>
      <c r="K77" s="353" t="s">
        <v>604</v>
      </c>
      <c r="L77" s="352" t="s">
        <v>604</v>
      </c>
      <c r="M77" s="352" t="s">
        <v>604</v>
      </c>
      <c r="N77" s="501" t="s">
        <v>604</v>
      </c>
      <c r="O77" s="353" t="s">
        <v>604</v>
      </c>
      <c r="P77" s="353" t="str">
        <f>IF(ISNUMBER(P75),IF(P75&lt;=P76,"PASS","FAIL"),"N/A")</f>
        <v>PASS</v>
      </c>
      <c r="Q77" s="353" t="str">
        <f>IF(ISNUMBER(Q75),IF(Q75&lt;=Q76,"PASS","FAIL"),"N/A")</f>
        <v>PASS</v>
      </c>
      <c r="R77" s="353" t="str">
        <f>IF(ISNUMBER(R75),IF(R75&lt;=R76,"PASS","FAIL"),"N/A")</f>
        <v>PASS</v>
      </c>
    </row>
    <row r="78" spans="1:18" ht="15.75" customHeight="1">
      <c r="A78" s="39" t="s">
        <v>605</v>
      </c>
      <c r="B78" s="254">
        <f t="shared" ref="B78:M78" si="26">IF(B69&gt;0,B74/(B69*12),"N/A")</f>
        <v>3.2358927282187095</v>
      </c>
      <c r="C78" s="254">
        <f t="shared" si="26"/>
        <v>3.3699471604567899</v>
      </c>
      <c r="D78" s="254">
        <f t="shared" si="26"/>
        <v>3.8141209024671192</v>
      </c>
      <c r="E78" s="254">
        <f t="shared" si="26"/>
        <v>4.3845089461466271</v>
      </c>
      <c r="F78" s="254">
        <f t="shared" si="26"/>
        <v>3.9904821054877484</v>
      </c>
      <c r="G78" s="254">
        <f t="shared" si="26"/>
        <v>4.4339921616503597</v>
      </c>
      <c r="H78" s="254">
        <f t="shared" si="26"/>
        <v>4.8442036322735351</v>
      </c>
      <c r="I78" s="254">
        <f t="shared" si="26"/>
        <v>5.1546821574075805</v>
      </c>
      <c r="J78" s="254">
        <f t="shared" si="26"/>
        <v>5.290860505524142</v>
      </c>
      <c r="K78" s="254">
        <f t="shared" si="26"/>
        <v>3.4567769171259441</v>
      </c>
      <c r="L78" s="254">
        <f t="shared" si="26"/>
        <v>3.3721917256548899</v>
      </c>
      <c r="M78" s="254">
        <f t="shared" si="26"/>
        <v>3.3001038121764639</v>
      </c>
      <c r="N78" s="449">
        <f>IF(N69&gt;0,N74/N69,"N/A")</f>
        <v>4.3446732609298957</v>
      </c>
      <c r="O78" s="254">
        <f>IF(O69&gt;0,O74/O69,"N/A")</f>
        <v>5.5127838246186709</v>
      </c>
      <c r="P78" s="254">
        <f>IF(P69&gt;0,P74/P69,"N/A")</f>
        <v>10.997473726257166</v>
      </c>
      <c r="Q78" s="254">
        <f>IF(Q69&gt;0,Q74/Q69,"N/A")</f>
        <v>20.390625039215482</v>
      </c>
      <c r="R78" s="254">
        <f>IF(R69&gt;0,R74/R69,"N/A")</f>
        <v>40.312296642428976</v>
      </c>
    </row>
    <row r="79" spans="1:18" ht="15.75" customHeight="1">
      <c r="A79" s="288" t="s">
        <v>602</v>
      </c>
      <c r="B79" s="351">
        <f>Assumptions!$G$99</f>
        <v>2.5</v>
      </c>
      <c r="C79" s="351">
        <f>Assumptions!$G$99</f>
        <v>2.5</v>
      </c>
      <c r="D79" s="351">
        <f>Assumptions!$G$99</f>
        <v>2.5</v>
      </c>
      <c r="E79" s="351">
        <f>Assumptions!$G$99</f>
        <v>2.5</v>
      </c>
      <c r="F79" s="351">
        <f>Assumptions!$G$99</f>
        <v>2.5</v>
      </c>
      <c r="G79" s="351">
        <f>Assumptions!$G$99</f>
        <v>2.5</v>
      </c>
      <c r="H79" s="351">
        <f>Assumptions!$G$99</f>
        <v>2.5</v>
      </c>
      <c r="I79" s="351">
        <f>Assumptions!$G$99</f>
        <v>2.5</v>
      </c>
      <c r="J79" s="351">
        <f>Assumptions!$G$99</f>
        <v>2.5</v>
      </c>
      <c r="K79" s="351">
        <f>Assumptions!$G$99</f>
        <v>2.5</v>
      </c>
      <c r="L79" s="351">
        <f>Assumptions!$G$99</f>
        <v>2.5</v>
      </c>
      <c r="M79" s="351">
        <f>Assumptions!$G$99</f>
        <v>2.5</v>
      </c>
      <c r="N79" s="500">
        <f>Assumptions!$G$99</f>
        <v>2.5</v>
      </c>
      <c r="O79" s="351">
        <f>Assumptions!$G$99</f>
        <v>2.5</v>
      </c>
      <c r="P79" s="351">
        <f>Assumptions!$G$99</f>
        <v>2.5</v>
      </c>
      <c r="Q79" s="351">
        <f>Assumptions!$G$99</f>
        <v>2.5</v>
      </c>
      <c r="R79" s="351">
        <f>Assumptions!$G$99</f>
        <v>2.5</v>
      </c>
    </row>
    <row r="80" spans="1:18" ht="15.75" customHeight="1">
      <c r="A80" s="284" t="s">
        <v>603</v>
      </c>
      <c r="B80" s="353" t="s">
        <v>604</v>
      </c>
      <c r="C80" s="353" t="s">
        <v>604</v>
      </c>
      <c r="D80" s="353" t="s">
        <v>604</v>
      </c>
      <c r="E80" s="353" t="s">
        <v>604</v>
      </c>
      <c r="F80" s="353" t="s">
        <v>604</v>
      </c>
      <c r="G80" s="353" t="s">
        <v>604</v>
      </c>
      <c r="H80" s="353" t="s">
        <v>604</v>
      </c>
      <c r="I80" s="353" t="s">
        <v>604</v>
      </c>
      <c r="J80" s="353" t="s">
        <v>604</v>
      </c>
      <c r="K80" s="353" t="s">
        <v>604</v>
      </c>
      <c r="L80" s="352" t="s">
        <v>604</v>
      </c>
      <c r="M80" s="352" t="s">
        <v>604</v>
      </c>
      <c r="N80" s="501" t="s">
        <v>604</v>
      </c>
      <c r="O80" s="353" t="s">
        <v>604</v>
      </c>
      <c r="P80" s="353" t="str">
        <f>IF(ISNUMBER(P78),IF(P78&gt;=P79,"PASS","FAIL"),"N/A")</f>
        <v>PASS</v>
      </c>
      <c r="Q80" s="353" t="str">
        <f>IF(ISNUMBER(Q78),IF(Q78&gt;=Q79,"PASS","FAIL"),"N/A")</f>
        <v>PASS</v>
      </c>
      <c r="R80" s="353" t="str">
        <f>IF(ISNUMBER(R78),IF(R78&gt;=R79,"PASS","FAIL"),"N/A")</f>
        <v>PASS</v>
      </c>
    </row>
    <row r="81" spans="1:18" ht="15.75" customHeight="1">
      <c r="A81" s="39" t="s">
        <v>606</v>
      </c>
      <c r="B81" s="254">
        <f>IF(B71&gt;0,(B74/12-Assumptions!$C$64/12)/(B71+'Income Statement'!B25),"N/A")</f>
        <v>0.7387020251117542</v>
      </c>
      <c r="C81" s="254">
        <f>IF(C71&gt;0,(C74/12-Assumptions!$C$64/12)/(C71+'Income Statement'!C25),"N/A")</f>
        <v>0.74935657938432376</v>
      </c>
      <c r="D81" s="254">
        <f>IF(D71&gt;0,(D74/12-Assumptions!$C$64/12)/(D71+'Income Statement'!D25),"N/A")</f>
        <v>0.78135961302856227</v>
      </c>
      <c r="E81" s="254">
        <f>IF(E71&gt;0,(E74/12-Assumptions!$C$64/12)/(E71+'Income Statement'!E25),"N/A")</f>
        <v>0.82538009459060091</v>
      </c>
      <c r="F81" s="254">
        <f>IF(F71&gt;0,(F74/12-Assumptions!$C$64/12)/(F71+'Income Statement'!F25),"N/A")</f>
        <v>0.75499840122222794</v>
      </c>
      <c r="G81" s="254">
        <f>IF(G71&gt;0,(G74/12-Assumptions!$C$64/12)/(G71+'Income Statement'!G25),"N/A")</f>
        <v>0.80726613374425327</v>
      </c>
      <c r="H81" s="254">
        <f>IF(H71&gt;0,(H74/12-Assumptions!$C$64/12)/(H71+'Income Statement'!H25),"N/A")</f>
        <v>0.85092110988655134</v>
      </c>
      <c r="I81" s="254">
        <f>IF(I71&gt;0,(I74/12-Assumptions!$C$64/12)/(I71+'Income Statement'!I25),"N/A")</f>
        <v>0.90598108352243589</v>
      </c>
      <c r="J81" s="254">
        <f>IF(J71&gt;0,(J74/12-Assumptions!$C$64/12)/(J71+'Income Statement'!J25),"N/A")</f>
        <v>0.98406096156573641</v>
      </c>
      <c r="K81" s="254">
        <f>IF(K71&gt;0,(K74/12-Assumptions!$C$64/12)/(K71+'Income Statement'!K25),"N/A")</f>
        <v>0.78474081168429755</v>
      </c>
      <c r="L81" s="254">
        <f>IF(L71&gt;0,(L74/12-Assumptions!$C$64/12)/(L71+'Income Statement'!L25),"N/A")</f>
        <v>0.77967111976077708</v>
      </c>
      <c r="M81" s="254">
        <f>IF(M71&gt;0,(M74/12-Assumptions!$C$64/12)/(M71+'Income Statement'!M25),"N/A")</f>
        <v>0.7458513392857139</v>
      </c>
      <c r="N81" s="449">
        <f>IF(N71&gt;0,(N74-Assumptions!$C$64)/(N71+'Income Statement'!N25),"N/A")</f>
        <v>0.91848087884679586</v>
      </c>
      <c r="O81" s="254">
        <f>IF(O71&gt;0,(O74-Assumptions!$D$64)/(O71+'Income Statement'!O25),"N/A")</f>
        <v>1.0329764102513457</v>
      </c>
      <c r="P81" s="254">
        <f>IF(P71&gt;0,(P74-Assumptions!$E$64)/(P71+'Income Statement'!P25),"N/A")</f>
        <v>1.5706844524211625</v>
      </c>
      <c r="Q81" s="254">
        <f>IF(Q71&gt;0,(Q74-Assumptions!$F$64)/(Q71+'Income Statement'!Q25),"N/A")</f>
        <v>1.9893582263936933</v>
      </c>
      <c r="R81" s="254">
        <f>IF(R71&gt;0,(R74-Assumptions!$G$64)/(R71+'Income Statement'!R25),"N/A")</f>
        <v>2.2126130941954711</v>
      </c>
    </row>
    <row r="82" spans="1:18" ht="15.75" customHeight="1">
      <c r="A82" s="288" t="s">
        <v>602</v>
      </c>
      <c r="B82" s="351">
        <f>Assumptions!$G$100</f>
        <v>1.25</v>
      </c>
      <c r="C82" s="351">
        <f>Assumptions!$G$100</f>
        <v>1.25</v>
      </c>
      <c r="D82" s="351">
        <f>Assumptions!$G$100</f>
        <v>1.25</v>
      </c>
      <c r="E82" s="351">
        <f>Assumptions!$G$100</f>
        <v>1.25</v>
      </c>
      <c r="F82" s="351">
        <f>Assumptions!$G$100</f>
        <v>1.25</v>
      </c>
      <c r="G82" s="351">
        <f>Assumptions!$G$100</f>
        <v>1.25</v>
      </c>
      <c r="H82" s="351">
        <f>Assumptions!$G$100</f>
        <v>1.25</v>
      </c>
      <c r="I82" s="351">
        <f>Assumptions!$G$100</f>
        <v>1.25</v>
      </c>
      <c r="J82" s="351">
        <f>Assumptions!$G$100</f>
        <v>1.25</v>
      </c>
      <c r="K82" s="351">
        <f>Assumptions!$G$100</f>
        <v>1.25</v>
      </c>
      <c r="L82" s="351">
        <f>Assumptions!$G$100</f>
        <v>1.25</v>
      </c>
      <c r="M82" s="351">
        <f>Assumptions!$G$100</f>
        <v>1.25</v>
      </c>
      <c r="N82" s="500">
        <f>Assumptions!$G$100</f>
        <v>1.25</v>
      </c>
      <c r="O82" s="351">
        <f>Assumptions!$G$100</f>
        <v>1.25</v>
      </c>
      <c r="P82" s="351">
        <f>Assumptions!$G$100</f>
        <v>1.25</v>
      </c>
      <c r="Q82" s="351">
        <f>Assumptions!$G$100</f>
        <v>1.25</v>
      </c>
      <c r="R82" s="351">
        <f>Assumptions!$G$100</f>
        <v>1.25</v>
      </c>
    </row>
    <row r="83" spans="1:18" ht="15.75" customHeight="1">
      <c r="A83" s="284" t="s">
        <v>603</v>
      </c>
      <c r="B83" s="352" t="s">
        <v>604</v>
      </c>
      <c r="C83" s="352" t="s">
        <v>604</v>
      </c>
      <c r="D83" s="352" t="s">
        <v>604</v>
      </c>
      <c r="E83" s="352" t="s">
        <v>604</v>
      </c>
      <c r="F83" s="352" t="s">
        <v>604</v>
      </c>
      <c r="G83" s="352" t="s">
        <v>604</v>
      </c>
      <c r="H83" s="352" t="s">
        <v>604</v>
      </c>
      <c r="I83" s="352" t="s">
        <v>604</v>
      </c>
      <c r="J83" s="352" t="s">
        <v>604</v>
      </c>
      <c r="K83" s="352" t="s">
        <v>604</v>
      </c>
      <c r="L83" s="352" t="s">
        <v>604</v>
      </c>
      <c r="M83" s="352" t="s">
        <v>604</v>
      </c>
      <c r="N83" s="502" t="s">
        <v>604</v>
      </c>
      <c r="O83" s="352" t="s">
        <v>604</v>
      </c>
      <c r="P83" s="353" t="str">
        <f>IF(ISNUMBER(P81),IF(P81&gt;=P82,"PASS","FAIL"),"N/A")</f>
        <v>PASS</v>
      </c>
      <c r="Q83" s="353" t="str">
        <f>IF(ISNUMBER(Q81),IF(Q81&gt;=Q82,"PASS","FAIL"),"N/A")</f>
        <v>PASS</v>
      </c>
      <c r="R83" s="353" t="str">
        <f>IF(ISNUMBER(R81),IF(R81&gt;=R82,"PASS","FAIL"),"N/A")</f>
        <v>PASS</v>
      </c>
    </row>
    <row r="84" spans="1:18" ht="15.75" customHeight="1">
      <c r="A84" s="39" t="s">
        <v>607</v>
      </c>
      <c r="B84" s="254">
        <f>'Balance Sheet'!C5</f>
        <v>3225.3221854380618</v>
      </c>
      <c r="C84" s="254">
        <f>'Balance Sheet'!D5</f>
        <v>3149.3646903393187</v>
      </c>
      <c r="D84" s="254">
        <f>'Balance Sheet'!E5</f>
        <v>3000.39160699286</v>
      </c>
      <c r="E84" s="254">
        <f>'Balance Sheet'!F5</f>
        <v>2861.8462437063345</v>
      </c>
      <c r="F84" s="254">
        <f>'Balance Sheet'!G5</f>
        <v>3458.5063490682546</v>
      </c>
      <c r="G84" s="254">
        <f>'Balance Sheet'!H5</f>
        <v>3342.5551870181043</v>
      </c>
      <c r="H84" s="254">
        <f>'Balance Sheet'!I5</f>
        <v>3229.8924805111515</v>
      </c>
      <c r="I84" s="254">
        <f>'Balance Sheet'!J5</f>
        <v>3138.8992514448901</v>
      </c>
      <c r="J84" s="254">
        <f>'Balance Sheet'!K5</f>
        <v>1122.4471165764057</v>
      </c>
      <c r="K84" s="254">
        <f>'Balance Sheet'!L5</f>
        <v>2781.7970254340194</v>
      </c>
      <c r="L84" s="254">
        <f>'Balance Sheet'!M5</f>
        <v>2762.1768210302312</v>
      </c>
      <c r="M84" s="254">
        <f>'Balance Sheet'!N5</f>
        <v>2631.0098113173053</v>
      </c>
      <c r="N84" s="449">
        <f>'Balance Sheet'!N5</f>
        <v>2631.0098113173053</v>
      </c>
      <c r="O84" s="254">
        <f>'Balance Sheet'!O5</f>
        <v>1024.4750854414967</v>
      </c>
      <c r="P84" s="254">
        <f>'Balance Sheet'!P5</f>
        <v>836.37421924441742</v>
      </c>
      <c r="Q84" s="254">
        <f>'Balance Sheet'!Q5</f>
        <v>1216.289271295316</v>
      </c>
      <c r="R84" s="254">
        <f>'Balance Sheet'!R5</f>
        <v>2202.2551322077707</v>
      </c>
    </row>
    <row r="85" spans="1:18" ht="15.75" customHeight="1">
      <c r="A85" s="288" t="s">
        <v>602</v>
      </c>
      <c r="B85" s="351">
        <f>Assumptions!$G$101</f>
        <v>200</v>
      </c>
      <c r="C85" s="351">
        <f>Assumptions!$G$101</f>
        <v>200</v>
      </c>
      <c r="D85" s="351">
        <f>Assumptions!$G$101</f>
        <v>200</v>
      </c>
      <c r="E85" s="351">
        <f>Assumptions!$G$101</f>
        <v>200</v>
      </c>
      <c r="F85" s="351">
        <f>Assumptions!$G$101</f>
        <v>200</v>
      </c>
      <c r="G85" s="351">
        <f>Assumptions!$G$101</f>
        <v>200</v>
      </c>
      <c r="H85" s="351">
        <f>Assumptions!$G$101</f>
        <v>200</v>
      </c>
      <c r="I85" s="351">
        <f>Assumptions!$G$101</f>
        <v>200</v>
      </c>
      <c r="J85" s="351">
        <f>Assumptions!$G$101</f>
        <v>200</v>
      </c>
      <c r="K85" s="351">
        <f>Assumptions!$G$101</f>
        <v>200</v>
      </c>
      <c r="L85" s="351">
        <f>Assumptions!$G$101</f>
        <v>200</v>
      </c>
      <c r="M85" s="351">
        <f>Assumptions!$G$101</f>
        <v>200</v>
      </c>
      <c r="N85" s="500">
        <f>Assumptions!$G$101</f>
        <v>200</v>
      </c>
      <c r="O85" s="351">
        <f>Assumptions!$G$101</f>
        <v>200</v>
      </c>
      <c r="P85" s="351">
        <f>Assumptions!$G$101</f>
        <v>200</v>
      </c>
      <c r="Q85" s="351">
        <f>Assumptions!$G$101</f>
        <v>200</v>
      </c>
      <c r="R85" s="351">
        <f>Assumptions!$G$101</f>
        <v>200</v>
      </c>
    </row>
    <row r="86" spans="1:18" ht="15.75" customHeight="1">
      <c r="A86" s="284" t="s">
        <v>603</v>
      </c>
      <c r="B86" s="353" t="s">
        <v>604</v>
      </c>
      <c r="C86" s="353" t="s">
        <v>604</v>
      </c>
      <c r="D86" s="353" t="s">
        <v>604</v>
      </c>
      <c r="E86" s="353" t="s">
        <v>604</v>
      </c>
      <c r="F86" s="353" t="s">
        <v>604</v>
      </c>
      <c r="G86" s="353" t="s">
        <v>604</v>
      </c>
      <c r="H86" s="353" t="s">
        <v>604</v>
      </c>
      <c r="I86" s="353" t="s">
        <v>604</v>
      </c>
      <c r="J86" s="353" t="s">
        <v>604</v>
      </c>
      <c r="K86" s="353" t="s">
        <v>604</v>
      </c>
      <c r="L86" s="353" t="s">
        <v>604</v>
      </c>
      <c r="M86" s="353" t="s">
        <v>604</v>
      </c>
      <c r="N86" s="501" t="s">
        <v>604</v>
      </c>
      <c r="O86" s="352" t="s">
        <v>604</v>
      </c>
      <c r="P86" s="352" t="str">
        <f>IF(P84&gt;=P85,"PASS","FAIL")</f>
        <v>PASS</v>
      </c>
      <c r="Q86" s="353" t="str">
        <f>IF(Q84&gt;=Q85,"PASS","FAIL")</f>
        <v>PASS</v>
      </c>
      <c r="R86" s="353" t="str">
        <f>IF(R84&gt;=R85,"PASS","FAIL")</f>
        <v>PASS</v>
      </c>
    </row>
    <row r="87" spans="1:18" ht="15.75" customHeight="1">
      <c r="A87" s="247"/>
      <c r="B87" s="259"/>
      <c r="C87" s="259"/>
      <c r="D87" s="259"/>
      <c r="E87" s="259"/>
      <c r="F87" s="259"/>
      <c r="G87" s="259"/>
      <c r="H87" s="259"/>
      <c r="I87" s="259"/>
      <c r="J87" s="259"/>
      <c r="K87" s="259"/>
      <c r="L87" s="259"/>
      <c r="M87" s="259"/>
      <c r="N87" s="454"/>
      <c r="O87" s="259"/>
      <c r="P87" s="259"/>
      <c r="Q87" s="259"/>
      <c r="R87" s="259"/>
    </row>
    <row r="88" spans="1:18" ht="15.75" customHeight="1">
      <c r="A88" s="247"/>
      <c r="B88" s="259"/>
      <c r="C88" s="259"/>
      <c r="D88" s="259"/>
      <c r="E88" s="259"/>
      <c r="F88" s="259"/>
      <c r="G88" s="259"/>
      <c r="H88" s="259"/>
      <c r="I88" s="259"/>
      <c r="J88" s="259"/>
      <c r="K88" s="259"/>
      <c r="L88" s="259"/>
      <c r="M88" s="259"/>
      <c r="N88" s="454"/>
      <c r="O88" s="259"/>
      <c r="P88" s="259"/>
      <c r="Q88" s="259"/>
      <c r="R88" s="259"/>
    </row>
    <row r="89" spans="1:18" ht="15.75" customHeight="1">
      <c r="A89" s="16" t="s">
        <v>608</v>
      </c>
      <c r="B89" s="289"/>
      <c r="C89" s="289"/>
      <c r="D89" s="289"/>
      <c r="E89" s="289"/>
      <c r="F89" s="289"/>
      <c r="G89" s="289"/>
      <c r="H89" s="289"/>
      <c r="I89" s="289"/>
      <c r="J89" s="289"/>
      <c r="K89" s="289"/>
      <c r="L89" s="289"/>
      <c r="M89" s="289"/>
      <c r="N89" s="503"/>
      <c r="O89" s="289"/>
      <c r="P89" s="289"/>
      <c r="Q89" s="289"/>
      <c r="R89" s="289"/>
    </row>
    <row r="90" spans="1:18" ht="15.75" customHeight="1">
      <c r="N90" s="504"/>
    </row>
    <row r="91" spans="1:18" ht="15.75" customHeight="1">
      <c r="N91" s="504"/>
    </row>
    <row r="92" spans="1:18" ht="16" customHeight="1">
      <c r="A92" s="326" t="s">
        <v>609</v>
      </c>
      <c r="N92" s="504"/>
    </row>
    <row r="93" spans="1:18" ht="16" customHeight="1">
      <c r="A93" s="327" t="s">
        <v>610</v>
      </c>
      <c r="B93" s="328"/>
      <c r="C93" s="328"/>
      <c r="D93" s="328"/>
      <c r="E93" s="328"/>
      <c r="F93" s="328"/>
      <c r="G93" s="328"/>
      <c r="N93" s="504"/>
    </row>
    <row r="94" spans="1:18" ht="16" customHeight="1">
      <c r="A94" s="8"/>
      <c r="B94" s="45" t="s">
        <v>512</v>
      </c>
      <c r="C94" s="45" t="s">
        <v>2</v>
      </c>
      <c r="D94" s="45" t="s">
        <v>3</v>
      </c>
      <c r="E94" s="45" t="s">
        <v>4</v>
      </c>
      <c r="F94" s="45" t="s">
        <v>5</v>
      </c>
      <c r="G94" s="45" t="s">
        <v>611</v>
      </c>
      <c r="N94" s="504"/>
    </row>
    <row r="95" spans="1:18" ht="16" customHeight="1">
      <c r="A95" s="8" t="s">
        <v>542</v>
      </c>
      <c r="B95" s="295">
        <f>'Income Statement'!N30</f>
        <v>1152.4848050000012</v>
      </c>
      <c r="C95" s="295">
        <f>'Income Statement'!O30</f>
        <v>1800.6760000000022</v>
      </c>
      <c r="D95" s="295">
        <f>'Income Statement'!P30</f>
        <v>2565.3756799999992</v>
      </c>
      <c r="E95" s="295">
        <f>'Income Statement'!Q30</f>
        <v>3442.6023872000005</v>
      </c>
      <c r="F95" s="295">
        <f>'Income Statement'!R30</f>
        <v>4336.0739226879996</v>
      </c>
      <c r="G95" s="295">
        <f>SUM(B95:F95)</f>
        <v>13297.212794888002</v>
      </c>
      <c r="N95" s="504"/>
    </row>
    <row r="96" spans="1:18" ht="16" customHeight="1">
      <c r="A96" s="8" t="s">
        <v>540</v>
      </c>
      <c r="B96" s="295">
        <f>'Income Statement'!N27</f>
        <v>235.44245119764778</v>
      </c>
      <c r="C96" s="295">
        <f>'Income Statement'!O27</f>
        <v>524.42730678395424</v>
      </c>
      <c r="D96" s="295">
        <f>'Income Statement'!P27</f>
        <v>978.49323392005726</v>
      </c>
      <c r="E96" s="295">
        <f>'Income Statement'!Q27</f>
        <v>1469.5411482205866</v>
      </c>
      <c r="F96" s="295">
        <f>'Income Statement'!R27</f>
        <v>1970.9931809328846</v>
      </c>
      <c r="G96" s="295">
        <f>SUM(B96:F96)</f>
        <v>5178.8973210551303</v>
      </c>
      <c r="N96" s="504"/>
    </row>
    <row r="97" spans="1:14" ht="16" customHeight="1">
      <c r="A97" s="8" t="s">
        <v>612</v>
      </c>
      <c r="B97" s="295">
        <f>'Cash Flow'!N15+'Cash Flow'!N22</f>
        <v>-1277.5575488023524</v>
      </c>
      <c r="C97" s="295">
        <f>'Cash Flow'!O15+'Cash Flow'!O22</f>
        <v>75.427306783954236</v>
      </c>
      <c r="D97" s="295">
        <f>'Cash Flow'!P15+'Cash Flow'!P22</f>
        <v>744.49323392005726</v>
      </c>
      <c r="E97" s="295">
        <f>'Cash Flow'!Q15+'Cash Flow'!Q22</f>
        <v>1304.5411482205864</v>
      </c>
      <c r="F97" s="295">
        <f>'Cash Flow'!R15+'Cash Flow'!R22</f>
        <v>2016.9931809328846</v>
      </c>
      <c r="G97" s="295">
        <f>SUM(B97:F97)</f>
        <v>2863.8973210551303</v>
      </c>
      <c r="N97" s="504"/>
    </row>
    <row r="98" spans="1:14" ht="16" customHeight="1">
      <c r="A98" s="8" t="s">
        <v>573</v>
      </c>
      <c r="B98" s="295">
        <f>'Balance Sheet'!N5</f>
        <v>2631.0098113173053</v>
      </c>
      <c r="C98" s="295">
        <f>'Balance Sheet'!O5</f>
        <v>1024.4750854414967</v>
      </c>
      <c r="D98" s="295">
        <f>'Balance Sheet'!P5</f>
        <v>836.37421924441742</v>
      </c>
      <c r="E98" s="295">
        <f>'Balance Sheet'!Q5</f>
        <v>1216.289271295316</v>
      </c>
      <c r="F98" s="295">
        <f>'Balance Sheet'!R5</f>
        <v>2202.2551322077707</v>
      </c>
      <c r="G98" s="295">
        <f>F98</f>
        <v>2202.2551322077707</v>
      </c>
      <c r="N98" s="504"/>
    </row>
    <row r="99" spans="1:14" ht="16" customHeight="1">
      <c r="A99" s="8"/>
      <c r="B99" s="280"/>
      <c r="C99" s="280"/>
      <c r="D99" s="280"/>
      <c r="E99" s="280"/>
      <c r="F99" s="280"/>
      <c r="G99" s="280"/>
      <c r="N99" s="504"/>
    </row>
    <row r="100" spans="1:14" ht="16" customHeight="1">
      <c r="A100" s="282" t="s">
        <v>613</v>
      </c>
      <c r="B100" s="329">
        <f>MAX(-B98,0)</f>
        <v>0</v>
      </c>
      <c r="C100" s="329">
        <f>MAX(-C98,0)</f>
        <v>0</v>
      </c>
      <c r="D100" s="329">
        <f>MAX(-D98,0)</f>
        <v>0</v>
      </c>
      <c r="E100" s="329">
        <f>MAX(-E98,0)</f>
        <v>0</v>
      </c>
      <c r="F100" s="329">
        <f>MAX(-F98,0)</f>
        <v>0</v>
      </c>
      <c r="G100" s="280">
        <f>MAX(B100:F100)</f>
        <v>0</v>
      </c>
      <c r="N100" s="504"/>
    </row>
    <row r="101" spans="1:14" ht="16" customHeight="1">
      <c r="A101" s="282" t="s">
        <v>614</v>
      </c>
      <c r="B101" s="329">
        <f>B100</f>
        <v>0</v>
      </c>
      <c r="C101" s="329">
        <f>MAX(B101,C100)</f>
        <v>0</v>
      </c>
      <c r="D101" s="329">
        <f>MAX(C101,D100)</f>
        <v>0</v>
      </c>
      <c r="E101" s="329">
        <f>MAX(D101,E100)</f>
        <v>0</v>
      </c>
      <c r="F101" s="329">
        <f>MAX(E101,F100)</f>
        <v>0</v>
      </c>
      <c r="G101" s="280">
        <f>F101</f>
        <v>0</v>
      </c>
      <c r="N101" s="504"/>
    </row>
    <row r="102" spans="1:14" ht="16" customHeight="1">
      <c r="A102" s="8" t="s">
        <v>615</v>
      </c>
      <c r="B102" s="280">
        <f>COUNTIF(N77,"PASS")+COUNTIF(N77,"HOLIDAY")+COUNTIF(N80,"PASS")+COUNTIF(N80,"HOLIDAY")+COUNTIF(N83,"PASS")+COUNTIF(N83,"HOLIDAY")+COUNTIF(N86,"PASS")+COUNTIF(N86,"HOLIDAY")</f>
        <v>4</v>
      </c>
      <c r="C102" s="280">
        <f>COUNTIF(O77,"PASS")+COUNTIF(O77,"HOLIDAY")+COUNTIF(O80,"PASS")+COUNTIF(O80,"HOLIDAY")+COUNTIF(O83,"PASS")+COUNTIF(O83,"HOLIDAY")+COUNTIF(O86,"PASS")+COUNTIF(O86,"HOLIDAY")</f>
        <v>4</v>
      </c>
      <c r="D102" s="280">
        <f>COUNTIF(P77,"PASS")+COUNTIF(P80,"PASS")+COUNTIF(P83,"PASS")+COUNTIF(P86,"PASS")</f>
        <v>4</v>
      </c>
      <c r="E102" s="280">
        <f>COUNTIF(Q77,"PASS")+COUNTIF(Q80,"PASS")+COUNTIF(Q83,"PASS")+COUNTIF(Q86,"PASS")</f>
        <v>4</v>
      </c>
      <c r="F102" s="280">
        <f>COUNTIF(R77,"PASS")+COUNTIF(R80,"PASS")+COUNTIF(R83,"PASS")+COUNTIF(R86,"PASS")</f>
        <v>4</v>
      </c>
      <c r="G102" s="280">
        <f>MIN(B102:F102)</f>
        <v>4</v>
      </c>
      <c r="N102" s="504"/>
    </row>
    <row r="103" spans="1:14" ht="16" customHeight="1">
      <c r="A103" s="8" t="s">
        <v>616</v>
      </c>
      <c r="B103" s="280" t="str">
        <f>IF(B98&gt;=Assumptions!$G$101,"PASS","FAIL")</f>
        <v>PASS</v>
      </c>
      <c r="C103" s="280" t="str">
        <f>IF(C98&gt;=Assumptions!$G$101,"PASS","FAIL")</f>
        <v>PASS</v>
      </c>
      <c r="D103" s="280" t="str">
        <f>IF(D98&gt;=Assumptions!$G$101,"PASS","FAIL")</f>
        <v>PASS</v>
      </c>
      <c r="E103" s="280" t="str">
        <f>IF(E98&gt;=Assumptions!$G$101,"PASS","FAIL")</f>
        <v>PASS</v>
      </c>
      <c r="F103" s="280" t="str">
        <f>IF(F98&gt;=Assumptions!$G$101,"PASS","FAIL")</f>
        <v>PASS</v>
      </c>
      <c r="G103" s="280" t="str">
        <f>IF(MIN(B98:F98)&gt;=Assumptions!$G$101,"PASS","FAIL")</f>
        <v>PASS</v>
      </c>
      <c r="N103" s="504"/>
    </row>
  </sheetData>
  <conditionalFormatting sqref="B77:R77">
    <cfRule type="containsText" dxfId="7" priority="2" operator="containsText" text="PASS">
      <formula>NOT(ISERROR(SEARCH("PASS",B77)))</formula>
    </cfRule>
    <cfRule type="containsText" dxfId="6" priority="3" operator="containsText" text="FAIL">
      <formula>NOT(ISERROR(SEARCH("FAIL",B77)))</formula>
    </cfRule>
  </conditionalFormatting>
  <conditionalFormatting sqref="B80:R80">
    <cfRule type="containsText" dxfId="5" priority="4" operator="containsText" text="PASS">
      <formula>NOT(ISERROR(SEARCH("PASS",B80)))</formula>
    </cfRule>
    <cfRule type="containsText" dxfId="4" priority="5" operator="containsText" text="FAIL">
      <formula>NOT(ISERROR(SEARCH("FAIL",B80)))</formula>
    </cfRule>
  </conditionalFormatting>
  <conditionalFormatting sqref="B83:R83">
    <cfRule type="containsText" dxfId="3" priority="6" operator="containsText" text="PASS">
      <formula>NOT(ISERROR(SEARCH("PASS",B83)))</formula>
    </cfRule>
    <cfRule type="containsText" dxfId="2" priority="7" operator="containsText" text="FAIL">
      <formula>NOT(ISERROR(SEARCH("FAIL",B83)))</formula>
    </cfRule>
  </conditionalFormatting>
  <conditionalFormatting sqref="B86:R86">
    <cfRule type="containsText" dxfId="1" priority="8" operator="containsText" text="PASS">
      <formula>NOT(ISERROR(SEARCH("PASS",B86)))</formula>
    </cfRule>
    <cfRule type="containsText" dxfId="0" priority="9" operator="containsText" text="FAIL">
      <formula>NOT(ISERROR(SEARCH("FAIL",B86)))</formula>
    </cfRule>
  </conditionalFormatting>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Q161"/>
  <sheetViews>
    <sheetView zoomScale="165" zoomScaleNormal="165" workbookViewId="0">
      <pane ySplit="2" topLeftCell="A3" activePane="bottomLeft" state="frozen"/>
      <selection pane="bottomLeft" activeCell="O14" sqref="O14"/>
    </sheetView>
  </sheetViews>
  <sheetFormatPr baseColWidth="10" defaultColWidth="11" defaultRowHeight="15.75" customHeight="1"/>
  <cols>
    <col min="1" max="1" width="31.5" customWidth="1"/>
    <col min="2" max="8" width="15" customWidth="1"/>
  </cols>
  <sheetData>
    <row r="1" spans="1:17" ht="16.5" customHeight="1">
      <c r="A1" s="545" t="s">
        <v>617</v>
      </c>
      <c r="B1" s="546"/>
      <c r="C1" s="546"/>
      <c r="D1" s="546"/>
      <c r="E1" s="546"/>
      <c r="F1" s="546"/>
      <c r="G1" s="546"/>
      <c r="H1" s="420"/>
      <c r="I1" s="421"/>
      <c r="J1" s="421"/>
      <c r="K1" s="421"/>
      <c r="L1" s="421"/>
      <c r="M1" s="421"/>
      <c r="N1" s="421"/>
      <c r="O1" s="421"/>
      <c r="P1" s="421"/>
      <c r="Q1" s="421"/>
    </row>
    <row r="2" spans="1:17" ht="15.75" customHeight="1">
      <c r="A2" s="247"/>
      <c r="B2" s="69" t="s">
        <v>490</v>
      </c>
      <c r="C2" s="69" t="s">
        <v>2</v>
      </c>
      <c r="D2" s="69" t="s">
        <v>3</v>
      </c>
      <c r="E2" s="69" t="s">
        <v>4</v>
      </c>
      <c r="F2" s="69" t="s">
        <v>5</v>
      </c>
      <c r="G2" s="69" t="s">
        <v>618</v>
      </c>
      <c r="H2" s="68"/>
      <c r="I2" s="411"/>
      <c r="J2" s="411"/>
      <c r="K2" s="411"/>
      <c r="L2" s="411"/>
      <c r="M2" s="411"/>
      <c r="N2" s="411"/>
      <c r="O2" s="411"/>
      <c r="P2" s="411"/>
      <c r="Q2" s="411"/>
    </row>
    <row r="3" spans="1:17" ht="15.75" customHeight="1">
      <c r="A3" s="64" t="s">
        <v>619</v>
      </c>
      <c r="B3" s="253"/>
      <c r="C3" s="253"/>
      <c r="D3" s="253"/>
      <c r="E3" s="253"/>
      <c r="F3" s="253"/>
      <c r="G3" s="253"/>
      <c r="H3" s="253"/>
      <c r="I3" s="411"/>
      <c r="J3" s="411"/>
      <c r="K3" s="411"/>
      <c r="L3" s="411"/>
      <c r="M3" s="411"/>
      <c r="N3" s="411"/>
      <c r="O3" s="411"/>
      <c r="P3" s="411"/>
      <c r="Q3" s="411"/>
    </row>
    <row r="4" spans="1:17" ht="15.75" customHeight="1">
      <c r="A4" s="247" t="s">
        <v>525</v>
      </c>
      <c r="B4" s="254">
        <f>'Income Statement'!N3</f>
        <v>8365.3000000000011</v>
      </c>
      <c r="C4" s="254">
        <f>'Income Statement'!O3</f>
        <v>10079.480000000001</v>
      </c>
      <c r="D4" s="254">
        <f>'Income Statement'!P3</f>
        <v>12130.851199999999</v>
      </c>
      <c r="E4" s="254">
        <f>'Income Statement'!Q3</f>
        <v>14465.389247999999</v>
      </c>
      <c r="F4" s="254">
        <f>'Income Statement'!R3</f>
        <v>16688.972817919999</v>
      </c>
      <c r="G4" s="247"/>
      <c r="H4" s="247"/>
    </row>
    <row r="5" spans="1:17" ht="15.75" customHeight="1">
      <c r="A5" s="247" t="s">
        <v>542</v>
      </c>
      <c r="B5" s="254">
        <f>'Income Statement'!N30</f>
        <v>1152.4848050000012</v>
      </c>
      <c r="C5" s="254">
        <f>'Income Statement'!O30</f>
        <v>1800.6760000000022</v>
      </c>
      <c r="D5" s="254">
        <f>'Income Statement'!P30</f>
        <v>2565.3756799999992</v>
      </c>
      <c r="E5" s="254">
        <f>'Income Statement'!Q30</f>
        <v>3442.6023872000005</v>
      </c>
      <c r="F5" s="254">
        <f>'Income Statement'!R30</f>
        <v>4336.0739226879996</v>
      </c>
      <c r="G5" s="247"/>
      <c r="H5" s="247"/>
    </row>
    <row r="6" spans="1:17" ht="15.75" customHeight="1">
      <c r="A6" s="288" t="s">
        <v>620</v>
      </c>
      <c r="B6" s="307">
        <f>B5/B4</f>
        <v>0.13776969206125317</v>
      </c>
      <c r="C6" s="307">
        <f>C5/C4</f>
        <v>0.17864770801668359</v>
      </c>
      <c r="D6" s="307">
        <f>D5/D4</f>
        <v>0.21147532334746627</v>
      </c>
      <c r="E6" s="307">
        <f>E5/E4</f>
        <v>0.23798892156849347</v>
      </c>
      <c r="F6" s="307">
        <f>F5/F4</f>
        <v>0.25981670471846441</v>
      </c>
      <c r="G6" s="247"/>
      <c r="H6" s="247"/>
    </row>
    <row r="7" spans="1:17" ht="15.75" customHeight="1">
      <c r="A7" s="247" t="s">
        <v>621</v>
      </c>
      <c r="B7" s="354">
        <f>-MAX('Income Statement'!N19,0)*Assumptions!$B$13</f>
        <v>-188.01028955000038</v>
      </c>
      <c r="C7" s="354">
        <f>-MAX('Income Statement'!O19,0)*Assumptions!$B$13</f>
        <v>-336.86956000000066</v>
      </c>
      <c r="D7" s="354">
        <f>-MAX('Income Statement'!P19,0)*Assumptions!$B$13</f>
        <v>-511.92646079999975</v>
      </c>
      <c r="E7" s="354">
        <f>-MAX('Income Statement'!Q19,0)*Assumptions!$B$13</f>
        <v>-712.56674003200021</v>
      </c>
      <c r="F7" s="354">
        <f>-MAX('Income Statement'!R19,0)*Assumptions!$B$13</f>
        <v>-918.86291603327982</v>
      </c>
      <c r="G7" s="247"/>
      <c r="H7" s="247"/>
    </row>
    <row r="8" spans="1:17" ht="15.75" customHeight="1">
      <c r="A8" s="247" t="s">
        <v>622</v>
      </c>
      <c r="B8" s="354">
        <f>'Cash Flow'!N20</f>
        <v>-1146</v>
      </c>
      <c r="C8" s="354">
        <f>'Cash Flow'!O20</f>
        <v>-837</v>
      </c>
      <c r="D8" s="354">
        <f>'Cash Flow'!P20</f>
        <v>-1003</v>
      </c>
      <c r="E8" s="354">
        <f>'Cash Flow'!Q20</f>
        <v>-1151</v>
      </c>
      <c r="F8" s="354">
        <f>'Cash Flow'!R20</f>
        <v>-1139</v>
      </c>
      <c r="G8" s="247"/>
      <c r="H8" s="247"/>
      <c r="I8" s="411"/>
      <c r="J8" s="411"/>
      <c r="K8" s="411"/>
      <c r="L8" s="411"/>
      <c r="M8" s="411"/>
      <c r="N8" s="411"/>
      <c r="O8" s="411"/>
      <c r="P8" s="411"/>
      <c r="Q8" s="411"/>
    </row>
    <row r="9" spans="1:17" ht="15.75" customHeight="1">
      <c r="A9" s="247" t="s">
        <v>623</v>
      </c>
      <c r="B9" s="354">
        <f>'Cash Flow'!N14</f>
        <v>-313</v>
      </c>
      <c r="C9" s="354">
        <f>'Cash Flow'!O14</f>
        <v>-326</v>
      </c>
      <c r="D9" s="354">
        <f>'Cash Flow'!P14</f>
        <v>-145</v>
      </c>
      <c r="E9" s="354">
        <f>'Cash Flow'!Q14</f>
        <v>-158</v>
      </c>
      <c r="F9" s="354">
        <f>'Cash Flow'!R14</f>
        <v>-187</v>
      </c>
      <c r="G9" s="247"/>
      <c r="H9" s="247"/>
      <c r="I9" s="411"/>
      <c r="J9" s="411"/>
      <c r="K9" s="411"/>
      <c r="L9" s="411"/>
      <c r="M9" s="411"/>
      <c r="N9" s="411"/>
      <c r="O9" s="411"/>
      <c r="P9" s="411"/>
      <c r="Q9" s="411"/>
    </row>
    <row r="10" spans="1:17" ht="16.5" customHeight="1">
      <c r="A10" s="284" t="s">
        <v>624</v>
      </c>
      <c r="B10" s="355">
        <f>B5+B7+B8+B9</f>
        <v>-494.52548454999919</v>
      </c>
      <c r="C10" s="355">
        <f>C5+C7+C8+C9</f>
        <v>300.80644000000166</v>
      </c>
      <c r="D10" s="355">
        <f>D5+D7+D8+D9</f>
        <v>905.44921919999933</v>
      </c>
      <c r="E10" s="355">
        <f>E5+E7+E8+E9</f>
        <v>1421.0356471680002</v>
      </c>
      <c r="F10" s="355">
        <f>F5+F7+F8+F9</f>
        <v>2091.2110066547198</v>
      </c>
      <c r="G10" s="247"/>
      <c r="H10" s="247"/>
    </row>
    <row r="11" spans="1:17" ht="15.75" customHeight="1">
      <c r="A11" s="247"/>
      <c r="B11" s="259"/>
      <c r="C11" s="259"/>
      <c r="D11" s="259"/>
      <c r="E11" s="259"/>
      <c r="F11" s="259"/>
      <c r="G11" s="247"/>
      <c r="H11" s="247"/>
    </row>
    <row r="12" spans="1:17" ht="15.75" customHeight="1">
      <c r="A12" s="64" t="s">
        <v>625</v>
      </c>
      <c r="B12" s="286"/>
      <c r="C12" s="286"/>
      <c r="D12" s="286"/>
      <c r="E12" s="286"/>
      <c r="F12" s="286"/>
      <c r="G12" s="253"/>
      <c r="H12" s="253"/>
    </row>
    <row r="13" spans="1:17" ht="15.75" customHeight="1">
      <c r="A13" s="247" t="s">
        <v>626</v>
      </c>
      <c r="B13" s="308">
        <v>0.5</v>
      </c>
      <c r="C13" s="308">
        <v>1.5</v>
      </c>
      <c r="D13" s="308">
        <v>2.5</v>
      </c>
      <c r="E13" s="308">
        <v>3.5</v>
      </c>
      <c r="F13" s="308">
        <v>4.5</v>
      </c>
      <c r="G13" s="308">
        <v>4.5</v>
      </c>
      <c r="H13" s="247"/>
    </row>
    <row r="14" spans="1:17" ht="15.75" customHeight="1">
      <c r="A14" s="39" t="s">
        <v>90</v>
      </c>
      <c r="B14" s="309">
        <f>Assumptions!B11</f>
        <v>0.11147818387676381</v>
      </c>
      <c r="C14" s="259"/>
      <c r="D14" s="259"/>
      <c r="E14" s="259"/>
      <c r="F14" s="259"/>
      <c r="G14" s="247"/>
      <c r="H14" s="247"/>
    </row>
    <row r="15" spans="1:17" ht="15.75" customHeight="1">
      <c r="A15" s="39" t="s">
        <v>144</v>
      </c>
      <c r="B15" s="309">
        <f>Assumptions!B12</f>
        <v>2.5000000000000001E-2</v>
      </c>
      <c r="C15" s="259"/>
      <c r="D15" s="259"/>
      <c r="E15" s="259"/>
      <c r="F15" s="259"/>
      <c r="G15" s="247"/>
      <c r="H15" s="247"/>
    </row>
    <row r="16" spans="1:17" ht="15.75" customHeight="1">
      <c r="A16" s="247" t="s">
        <v>627</v>
      </c>
      <c r="B16" s="310">
        <f>1/(1+B14)^B13</f>
        <v>0.94852663075667087</v>
      </c>
      <c r="C16" s="310">
        <f>1/(1+$B$14)^C13</f>
        <v>0.85339203640351402</v>
      </c>
      <c r="D16" s="310">
        <f>1/(1+$B$14)^D13</f>
        <v>0.76779917841206569</v>
      </c>
      <c r="E16" s="310">
        <f>1/(1+$B$14)^E13</f>
        <v>0.69079104704874372</v>
      </c>
      <c r="F16" s="310">
        <f>1/(1+$B$14)^F13</f>
        <v>0.62150661800604068</v>
      </c>
      <c r="G16" s="311">
        <f>1/(1+$B$14)^G13</f>
        <v>0.62150661800604068</v>
      </c>
      <c r="H16" s="247"/>
      <c r="I16" s="411"/>
      <c r="J16" s="411"/>
      <c r="K16" s="411"/>
      <c r="L16" s="411"/>
      <c r="M16" s="411"/>
      <c r="N16" s="411"/>
      <c r="O16" s="411"/>
      <c r="P16" s="411"/>
      <c r="Q16" s="411"/>
    </row>
    <row r="17" spans="1:17" ht="15.75" customHeight="1">
      <c r="A17" s="39" t="s">
        <v>439</v>
      </c>
      <c r="B17" s="259"/>
      <c r="C17" s="259"/>
      <c r="D17" s="259"/>
      <c r="E17" s="259"/>
      <c r="F17" s="259"/>
      <c r="G17" s="254">
        <f>F10*(1+B15)/(B14-B15)</f>
        <v>24786.497423161443</v>
      </c>
      <c r="H17" s="247"/>
      <c r="I17" s="411"/>
      <c r="J17" s="411"/>
      <c r="K17" s="411"/>
      <c r="L17" s="411"/>
      <c r="M17" s="411"/>
      <c r="N17" s="411"/>
      <c r="O17" s="411"/>
      <c r="P17" s="411"/>
      <c r="Q17" s="411"/>
    </row>
    <row r="18" spans="1:17" ht="16.5" customHeight="1">
      <c r="A18" s="284" t="s">
        <v>628</v>
      </c>
      <c r="B18" s="356">
        <f>B10*B16</f>
        <v>-469.07059168352083</v>
      </c>
      <c r="C18" s="356">
        <f>C10*C16</f>
        <v>256.7058203948929</v>
      </c>
      <c r="D18" s="356">
        <f>D10*D16</f>
        <v>695.20316659560581</v>
      </c>
      <c r="E18" s="356">
        <f>E10*E16</f>
        <v>981.63870260077204</v>
      </c>
      <c r="F18" s="356">
        <f>F10*F16</f>
        <v>1299.7014802829826</v>
      </c>
      <c r="G18" s="356">
        <f>G17*G16</f>
        <v>15404.97218568451</v>
      </c>
      <c r="H18" s="247"/>
    </row>
    <row r="19" spans="1:17" ht="16.5" customHeight="1">
      <c r="A19" s="247"/>
      <c r="B19" s="259"/>
      <c r="C19" s="259"/>
      <c r="D19" s="259"/>
      <c r="E19" s="259"/>
      <c r="F19" s="259"/>
      <c r="G19" s="247"/>
      <c r="H19" s="247"/>
    </row>
    <row r="20" spans="1:17" ht="15.75" customHeight="1">
      <c r="A20" s="64" t="s">
        <v>629</v>
      </c>
      <c r="B20" s="286"/>
      <c r="C20" s="286"/>
      <c r="D20" s="286"/>
      <c r="E20" s="286"/>
      <c r="F20" s="286"/>
      <c r="G20" s="253"/>
      <c r="H20" s="253"/>
    </row>
    <row r="21" spans="1:17" ht="15.75" customHeight="1">
      <c r="A21" s="247"/>
      <c r="B21" s="259"/>
      <c r="C21" s="259"/>
      <c r="D21" s="259"/>
      <c r="E21" s="259"/>
      <c r="F21" s="259"/>
      <c r="G21" s="247"/>
      <c r="H21" s="247"/>
    </row>
    <row r="22" spans="1:17" ht="15.75" customHeight="1">
      <c r="A22" s="247" t="s">
        <v>630</v>
      </c>
      <c r="B22" s="335">
        <f>ROUND(SUM(B18:F18),1)</f>
        <v>2764.2</v>
      </c>
      <c r="C22" s="259"/>
      <c r="D22" s="259"/>
      <c r="E22" s="259"/>
      <c r="F22" s="259"/>
      <c r="G22" s="247"/>
      <c r="H22" s="247"/>
    </row>
    <row r="23" spans="1:17" ht="15.75" customHeight="1">
      <c r="A23" s="247" t="s">
        <v>631</v>
      </c>
      <c r="B23" s="335">
        <f>ROUND(G18,1)</f>
        <v>15405</v>
      </c>
      <c r="C23" s="259"/>
      <c r="D23" s="259"/>
      <c r="E23" s="259"/>
      <c r="F23" s="259"/>
      <c r="G23" s="247"/>
      <c r="H23" s="247"/>
    </row>
    <row r="24" spans="1:17" ht="16.5" customHeight="1">
      <c r="A24" s="38" t="s">
        <v>632</v>
      </c>
      <c r="B24" s="333">
        <f>ROUND(B22+B23,1)</f>
        <v>18169.2</v>
      </c>
      <c r="C24" s="312"/>
      <c r="D24" s="312"/>
      <c r="E24" s="312"/>
      <c r="F24" s="312"/>
      <c r="G24" s="38"/>
      <c r="H24" s="38"/>
    </row>
    <row r="25" spans="1:17" ht="15.75" customHeight="1">
      <c r="A25" s="247"/>
      <c r="B25" s="259"/>
      <c r="C25" s="259"/>
      <c r="D25" s="259"/>
      <c r="E25" s="259"/>
      <c r="F25" s="259"/>
      <c r="G25" s="247"/>
      <c r="H25" s="247"/>
    </row>
    <row r="26" spans="1:17" ht="15.75" customHeight="1">
      <c r="A26" s="247" t="s">
        <v>633</v>
      </c>
      <c r="B26" s="354">
        <f>-'Debt Schedule'!N68</f>
        <v>-4602.3638612352934</v>
      </c>
      <c r="C26" s="259"/>
      <c r="D26" s="259"/>
      <c r="E26" s="259"/>
      <c r="F26" s="259"/>
      <c r="G26" s="247"/>
      <c r="H26" s="247"/>
    </row>
    <row r="27" spans="1:17" ht="15.75" customHeight="1">
      <c r="A27" s="247" t="s">
        <v>634</v>
      </c>
      <c r="B27" s="254">
        <f>'Balance Sheet'!N5</f>
        <v>2631.0098113173053</v>
      </c>
      <c r="C27" s="259"/>
      <c r="D27" s="259"/>
      <c r="E27" s="259"/>
      <c r="F27" s="259"/>
      <c r="G27" s="247"/>
      <c r="H27" s="247"/>
    </row>
    <row r="28" spans="1:17" ht="16.5" customHeight="1">
      <c r="A28" s="313" t="s">
        <v>440</v>
      </c>
      <c r="B28" s="338">
        <f>ROUND(B24+B26+B27,1)</f>
        <v>16197.8</v>
      </c>
      <c r="C28" s="312"/>
      <c r="D28" s="312"/>
      <c r="E28" s="312"/>
      <c r="F28" s="312"/>
      <c r="G28" s="38"/>
      <c r="H28" s="38"/>
    </row>
    <row r="29" spans="1:17" ht="16.5" customHeight="1">
      <c r="A29" s="247"/>
      <c r="B29" s="259"/>
      <c r="C29" s="259"/>
      <c r="D29" s="259"/>
      <c r="E29" s="259"/>
      <c r="F29" s="259"/>
      <c r="G29" s="247"/>
      <c r="H29" s="247"/>
    </row>
    <row r="30" spans="1:17" ht="15.75" customHeight="1">
      <c r="A30" s="288" t="s">
        <v>635</v>
      </c>
      <c r="B30" s="314">
        <f>B23/B24</f>
        <v>0.84786341721154479</v>
      </c>
      <c r="C30" s="259"/>
      <c r="D30" s="259"/>
      <c r="E30" s="259"/>
      <c r="F30" s="259"/>
      <c r="G30" s="247"/>
      <c r="H30" s="247"/>
    </row>
    <row r="31" spans="1:17" ht="15.75" customHeight="1">
      <c r="A31" s="288" t="s">
        <v>636</v>
      </c>
      <c r="B31" s="314">
        <f>B22/B24</f>
        <v>0.15213658278845518</v>
      </c>
      <c r="C31" s="247"/>
      <c r="D31" s="247"/>
      <c r="E31" s="247"/>
      <c r="F31" s="247"/>
      <c r="G31" s="247"/>
      <c r="H31" s="247"/>
    </row>
    <row r="32" spans="1:17" ht="15.75" customHeight="1">
      <c r="A32" s="257" t="s">
        <v>637</v>
      </c>
      <c r="B32" s="314">
        <f>B24/B5</f>
        <v>15.765240392909112</v>
      </c>
      <c r="C32" s="247"/>
      <c r="D32" s="247"/>
      <c r="E32" s="247"/>
      <c r="F32" s="247"/>
      <c r="G32" s="247"/>
      <c r="H32" s="247"/>
    </row>
    <row r="33" spans="1:17" ht="15.75" customHeight="1">
      <c r="A33" s="247"/>
      <c r="B33" s="247"/>
      <c r="C33" s="247"/>
      <c r="D33" s="247"/>
      <c r="E33" s="247"/>
      <c r="F33" s="247"/>
      <c r="G33" s="247"/>
      <c r="H33" s="247"/>
    </row>
    <row r="34" spans="1:17" ht="15.75" customHeight="1">
      <c r="A34" s="64" t="s">
        <v>638</v>
      </c>
      <c r="B34" s="253"/>
      <c r="C34" s="253"/>
      <c r="D34" s="253"/>
      <c r="E34" s="253"/>
      <c r="F34" s="253"/>
      <c r="G34" s="253"/>
      <c r="H34" s="253"/>
    </row>
    <row r="35" spans="1:17" ht="15.75" customHeight="1">
      <c r="A35" s="315" t="s">
        <v>639</v>
      </c>
      <c r="B35" s="316">
        <v>5.0000000000000001E-3</v>
      </c>
      <c r="C35" s="316">
        <v>0.01</v>
      </c>
      <c r="D35" s="316">
        <v>1.4999999999999999E-2</v>
      </c>
      <c r="E35" s="316">
        <v>0.02</v>
      </c>
      <c r="F35" s="317">
        <f>Assumptions!B12</f>
        <v>2.5000000000000001E-2</v>
      </c>
      <c r="G35" s="316">
        <v>0.03</v>
      </c>
      <c r="H35" s="318">
        <v>3.5000000000000003E-2</v>
      </c>
    </row>
    <row r="36" spans="1:17" ht="15.75" customHeight="1">
      <c r="A36" s="319">
        <v>0.08</v>
      </c>
      <c r="B36" s="357">
        <f>SUM(B10/(1+$A36)^B13,C10/(1+$A36)^C13,D10/(1+$A36)^D13,E10/(1+$A36)^E13,F10/(1+$A36)^F13)+F10*(1+B$35)/($A36-B$35)/(1+$A36)^F13+'Balance Sheet'!N5-'Debt Schedule'!N68</f>
        <v>20951.968825875345</v>
      </c>
      <c r="C36" s="357">
        <f>SUM(B10/(1+$A36)^B13,C10/(1+$A36)^C13,D10/(1+$A36)^D13,E10/(1+$A36)^E13,F10/(1+$A36)^F13)+F10*(1+C$35)/($A36-C$35)/(1+$A36)^F13+'Balance Sheet'!N5-'Debt Schedule'!N68</f>
        <v>22473.305773469423</v>
      </c>
      <c r="D36" s="357">
        <f>SUM(B10/(1+$A36)^B13,C10/(1+$A36)^C13,D10/(1+$A36)^D13,E10/(1+$A36)^E13,F10/(1+$A36)^F13)+F10*(1+D$35)/($A36-D$35)/(1+$A36)^F13+'Balance Sheet'!N5-'Debt Schedule'!N68</f>
        <v>24228.694559154901</v>
      </c>
      <c r="E36" s="357">
        <f>SUM(B10/(1+$A36)^B13,C10/(1+$A36)^C13,D10/(1+$A36)^D13,E10/(1+$A36)^E13,F10/(1+$A36)^F13)+F10*(1+E$35)/($A36-E$35)/(1+$A36)^F13+'Balance Sheet'!N5-'Debt Schedule'!N68</f>
        <v>26276.648142454636</v>
      </c>
      <c r="F36" s="357">
        <f>SUM(B10/(1+$A36)^B13,C10/(1+$A36)^C13,D10/(1+$A36)^D13,E10/(1+$A36)^E13,F10/(1+$A36)^F13)+F10*(1+F$35)/($A36-F$35)/(1+$A36)^F13+'Balance Sheet'!N5-'Debt Schedule'!N68</f>
        <v>28696.956922717945</v>
      </c>
      <c r="G36" s="357">
        <f>SUM(B10/(1+$A36)^B13,C10/(1+$A36)^C13,D10/(1+$A36)^D13,E10/(1+$A36)^E13,F10/(1+$A36)^F13)+F10*(1+G$35)/($A36-G$35)/(1+$A36)^F13+'Balance Sheet'!N5-'Debt Schedule'!N68</f>
        <v>31601.327459033921</v>
      </c>
      <c r="H36" s="358">
        <f>SUM(B10/(1+$A36)^B13,C10/(1+$A36)^C13,D10/(1+$A36)^D13,E10/(1+$A36)^E13,F10/(1+$A36)^F13)+F10*(1+H$35)/($A36-H$35)/(1+$A36)^F13+'Balance Sheet'!N5-'Debt Schedule'!N68</f>
        <v>35151.113670086772</v>
      </c>
      <c r="I36" s="411"/>
      <c r="J36" s="411"/>
      <c r="K36" s="411"/>
      <c r="L36" s="411"/>
      <c r="M36" s="411"/>
      <c r="N36" s="411"/>
      <c r="O36" s="411"/>
      <c r="P36" s="411"/>
      <c r="Q36" s="411"/>
    </row>
    <row r="37" spans="1:17" ht="15.75" customHeight="1">
      <c r="A37" s="319">
        <v>0.09</v>
      </c>
      <c r="B37" s="357">
        <f>SUM(B10/(1+$A37)^B13,C10/(1+$A37)^C13,D10/(1+$A37)^D13,E10/(1+$A37)^E13,F10/(1+$A37)^F13)+F10*(1+B$35)/($A37-B$35)/(1+$A37)^F13+'Balance Sheet'!N5-'Debt Schedule'!N68</f>
        <v>17796.717849863046</v>
      </c>
      <c r="C37" s="357">
        <f>SUM(B10/(1+$A37)^B13,C10/(1+$A37)^C13,D10/(1+$A37)^D13,E10/(1+$A37)^E13,F10/(1+$A37)^F13)+F10*(1+C$35)/($A37-C$35)/(1+$A37)^F13+'Balance Sheet'!N5-'Debt Schedule'!N68</f>
        <v>18933.99471558987</v>
      </c>
      <c r="D37" s="357">
        <f>SUM(B10/(1+$A37)^B13,C10/(1+$A37)^C13,D10/(1+$A37)^D13,E10/(1+$A37)^E13,F10/(1+$A37)^F13)+F10*(1+D$35)/($A37-D$35)/(1+$A37)^F13+'Balance Sheet'!N5-'Debt Schedule'!N68</f>
        <v>20222.908496746946</v>
      </c>
      <c r="E37" s="357">
        <f>SUM(B10/(1+$A37)^B13,C10/(1+$A37)^C13,D10/(1+$A37)^D13,E10/(1+$A37)^E13,F10/(1+$A37)^F13)+F10*(1+E$35)/($A37-E$35)/(1+$A37)^F13+'Balance Sheet'!N5-'Debt Schedule'!N68</f>
        <v>21695.952818069316</v>
      </c>
      <c r="F37" s="357">
        <f>SUM(B10/(1+$A37)^B13,C10/(1+$A37)^C13,D10/(1+$A37)^D13,E10/(1+$A37)^E13,F10/(1+$A37)^F13)+F10*(1+F$35)/($A37-F$35)/(1+$A37)^F13+'Balance Sheet'!N5-'Debt Schedule'!N68</f>
        <v>23395.619342672042</v>
      </c>
      <c r="G37" s="357">
        <f>SUM(B10/(1+$A37)^B13,C10/(1+$A37)^C13,D10/(1+$A37)^D13,E10/(1+$A37)^E13,F10/(1+$A37)^F13)+F10*(1+G$35)/($A37-G$35)/(1+$A37)^F13+'Balance Sheet'!N5-'Debt Schedule'!N68</f>
        <v>25378.56362137523</v>
      </c>
      <c r="H37" s="358">
        <f>SUM(B10/(1+$A37)^B13,C10/(1+$A37)^C13,D10/(1+$A37)^D13,E10/(1+$A37)^E13,F10/(1+$A37)^F13)+F10*(1+H$35)/($A37-H$35)/(1+$A37)^F13+'Balance Sheet'!N5-'Debt Schedule'!N68</f>
        <v>27722.043223478999</v>
      </c>
      <c r="I37" s="411"/>
      <c r="J37" s="411"/>
      <c r="K37" s="411"/>
      <c r="L37" s="411"/>
      <c r="M37" s="411"/>
      <c r="N37" s="411"/>
      <c r="O37" s="411"/>
      <c r="P37" s="411"/>
      <c r="Q37" s="411"/>
    </row>
    <row r="38" spans="1:17" ht="15.75" customHeight="1">
      <c r="A38" s="319">
        <v>0.1</v>
      </c>
      <c r="B38" s="357">
        <f>SUM(B10/(1+$A38)^B13,C10/(1+$A38)^C13,D10/(1+$A38)^D13,E10/(1+$A38)^E13,F10/(1+$A38)^F13)+F10*(1+B$35)/($A38-B$35)/(1+$A38)^F13+'Balance Sheet'!N5-'Debt Schedule'!N68</f>
        <v>15318.153147012423</v>
      </c>
      <c r="C38" s="357">
        <f>SUM(B10/(1+$A38)^B13,C10/(1+$A38)^C13,D10/(1+$A38)^D13,E10/(1+$A38)^E13,F10/(1+$A38)^F13)+F10*(1+C$35)/($A38-C$35)/(1+$A38)^F13+'Balance Sheet'!N5-'Debt Schedule'!N68</f>
        <v>16194.200027765974</v>
      </c>
      <c r="D38" s="357">
        <f>SUM(B10/(1+$A38)^B13,C10/(1+$A38)^C13,D10/(1+$A38)^D13,E10/(1+$A38)^E13,F10/(1+$A38)^F13)+F10*(1+D$35)/($A38-D$35)/(1+$A38)^F13+'Balance Sheet'!N5-'Debt Schedule'!N68</f>
        <v>17173.311247431709</v>
      </c>
      <c r="E38" s="357">
        <f>SUM(B10/(1+$A38)^B13,C10/(1+$A38)^C13,D10/(1+$A38)^D13,E10/(1+$A38)^E13,F10/(1+$A38)^F13)+F10*(1+E$35)/($A38-E$35)/(1+$A38)^F13+'Balance Sheet'!N5-'Debt Schedule'!N68</f>
        <v>18274.81136955566</v>
      </c>
      <c r="F38" s="357">
        <f>SUM(B10/(1+$A38)^B13,C10/(1+$A38)^C13,D10/(1+$A38)^D13,E10/(1+$A38)^E13,F10/(1+$A38)^F13)+F10*(1+F$35)/($A38-F$35)/(1+$A38)^F13+'Balance Sheet'!N5-'Debt Schedule'!N68</f>
        <v>19523.178174629466</v>
      </c>
      <c r="G38" s="357">
        <f>SUM(B10/(1+$A38)^B13,C10/(1+$A38)^C13,D10/(1+$A38)^D13,E10/(1+$A38)^E13,F10/(1+$A38)^F13)+F10*(1+G$35)/($A38-G$35)/(1+$A38)^F13+'Balance Sheet'!N5-'Debt Schedule'!N68</f>
        <v>20949.883094713819</v>
      </c>
      <c r="H38" s="358">
        <f>SUM(B10/(1+$A38)^B13,C10/(1+$A38)^C13,D10/(1+$A38)^D13,E10/(1+$A38)^E13,F10/(1+$A38)^F13)+F10*(1+H$35)/($A38-H$35)/(1+$A38)^F13+'Balance Sheet'!N5-'Debt Schedule'!N68</f>
        <v>22596.081079426542</v>
      </c>
      <c r="I38" s="411"/>
      <c r="J38" s="411"/>
      <c r="K38" s="411"/>
      <c r="L38" s="411"/>
      <c r="M38" s="411"/>
      <c r="N38" s="411"/>
      <c r="O38" s="411"/>
      <c r="P38" s="411"/>
      <c r="Q38" s="411"/>
    </row>
    <row r="39" spans="1:17" ht="15.75" customHeight="1">
      <c r="A39" s="319">
        <f>Assumptions!B11</f>
        <v>0.11147818387676381</v>
      </c>
      <c r="B39" s="357">
        <f>SUM(B10/(1+$A39)^B13,C10/(1+$A39)^C13,D10/(1+$A39)^D13,E10/(1+$A39)^E13,F10/(1+$A39)^F13)+F10*(1+B$35)/($A39-B$35)/(1+$A39)^F13+'Balance Sheet'!N5-'Debt Schedule'!N68</f>
        <v>13060.126055467959</v>
      </c>
      <c r="C39" s="357">
        <f>SUM(B10/(1+$A39)^B13,C10/(1+$A39)^C13,D10/(1+$A39)^D13,E10/(1+$A39)^E13,F10/(1+$A39)^F13)+F10*(1+C$35)/($A39-C$35)/(1+$A39)^F13+'Balance Sheet'!N5-'Debt Schedule'!N68</f>
        <v>13728.595005599849</v>
      </c>
      <c r="D39" s="357">
        <f>SUM(B10/(1+$A39)^B13,C10/(1+$A39)^C13,D10/(1+$A39)^D13,E10/(1+$A39)^E13,F10/(1+$A39)^F13)+F10*(1+D$35)/($A39-D$35)/(1+$A39)^F13+'Balance Sheet'!N5-'Debt Schedule'!N68</f>
        <v>14466.351013517329</v>
      </c>
      <c r="E39" s="357">
        <f>SUM(B10/(1+$A39)^B13,C10/(1+$A39)^C13,D10/(1+$A39)^D13,E10/(1+$A39)^E13,F10/(1+$A39)^F13)+F10*(1+E$35)/($A39-E$35)/(1+$A39)^F13+'Balance Sheet'!N5-'Debt Schedule'!N68</f>
        <v>15284.755322117237</v>
      </c>
      <c r="F39" s="359">
        <f>SUM(B10/(1+$A39)^B13,C10/(1+$A39)^C13,D10/(1+$A39)^D13,E10/(1+$A39)^E13,F10/(1+$A39)^F13)+F10*(1+F$35)/($A39-F$35)/(1+$A39)^F13+'Balance Sheet'!N5-'Debt Schedule'!N68</f>
        <v>16197.796713957256</v>
      </c>
      <c r="G39" s="357">
        <f>SUM(B10/(1+$A39)^B13,C10/(1+$A39)^C13,D10/(1+$A39)^D13,E10/(1+$A39)^E13,F10/(1+$A39)^F13)+F10*(1+G$35)/($A39-G$35)/(1+$A39)^F13+'Balance Sheet'!N5-'Debt Schedule'!N68</f>
        <v>17222.897720825138</v>
      </c>
      <c r="H39" s="358">
        <f>SUM(B10/(1+$A39)^B13,C10/(1+$A39)^C13,D10/(1+$A39)^D13,E10/(1+$A39)^E13,F10/(1+$A39)^F13)+F10*(1+H$35)/($A39-H$35)/(1+$A39)^F13+'Balance Sheet'!N5-'Debt Schedule'!N68</f>
        <v>18382.037084111078</v>
      </c>
      <c r="I39" s="411"/>
      <c r="J39" s="411"/>
      <c r="K39" s="411"/>
      <c r="L39" s="411"/>
      <c r="M39" s="411"/>
      <c r="N39" s="411"/>
      <c r="O39" s="411"/>
      <c r="P39" s="411"/>
      <c r="Q39" s="411"/>
    </row>
    <row r="40" spans="1:17" ht="15.75" customHeight="1">
      <c r="A40" s="319">
        <v>0.12</v>
      </c>
      <c r="B40" s="357">
        <f>SUM(B10/(1+$A40)^B13,C10/(1+$A40)^C13,D10/(1+$A40)^D13,E10/(1+$A40)^E13,F10/(1+$A40)^F13)+F10*(1+B$35)/($A40-B$35)/(1+$A40)^F13+'Balance Sheet'!N5-'Debt Schedule'!N68</f>
        <v>11683.239107756281</v>
      </c>
      <c r="C40" s="357">
        <f>SUM(B10/(1+$A40)^B13,C10/(1+$A40)^C13,D10/(1+$A40)^D13,E10/(1+$A40)^E13,F10/(1+$A40)^F13)+F10*(1+C$35)/($A40-C$35)/(1+$A40)^F13+'Balance Sheet'!N5-'Debt Schedule'!N68</f>
        <v>12239.161612657424</v>
      </c>
      <c r="D40" s="357">
        <f>SUM(B10/(1+$A40)^B13,C10/(1+$A40)^C13,D10/(1+$A40)^D13,E10/(1+$A40)^E13,F10/(1+$A40)^F13)+F10*(1+D$35)/($A40-D$35)/(1+$A40)^F13+'Balance Sheet'!N5-'Debt Schedule'!N68</f>
        <v>12848.02911802535</v>
      </c>
      <c r="E40" s="357">
        <f>SUM(B10/(1+$A40)^B13,C10/(1+$A40)^C13,D10/(1+$A40)^D13,E10/(1+$A40)^E13,F10/(1+$A40)^F13)+F10*(1+E$35)/($A40-E$35)/(1+$A40)^F13+'Balance Sheet'!N5-'Debt Schedule'!N68</f>
        <v>13517.783373930064</v>
      </c>
      <c r="F40" s="357">
        <f>SUM(B10/(1+$A40)^B13,C10/(1+$A40)^C13,D10/(1+$A40)^D13,E10/(1+$A40)^E13,F10/(1+$A40)^F13)+F10*(1+F$35)/($A40-F$35)/(1+$A40)^F13+'Balance Sheet'!N5-'Debt Schedule'!N68</f>
        <v>14258.038077824747</v>
      </c>
      <c r="G40" s="357">
        <f>SUM(B10/(1+$A40)^B13,C10/(1+$A40)^C13,D10/(1+$A40)^D13,E10/(1+$A40)^E13,F10/(1+$A40)^F13)+F10*(1+G$35)/($A40-G$35)/(1+$A40)^F13+'Balance Sheet'!N5-'Debt Schedule'!N68</f>
        <v>15080.543304374396</v>
      </c>
      <c r="H40" s="358">
        <f>SUM(B10/(1+$A40)^B13,C10/(1+$A40)^C13,D10/(1+$A40)^D13,E10/(1+$A40)^E13,F10/(1+$A40)^F13)+F10*(1+H$35)/($A40-H$35)/(1+$A40)^F13+'Balance Sheet'!N5-'Debt Schedule'!N68</f>
        <v>15999.813851694589</v>
      </c>
      <c r="I40" s="411"/>
      <c r="J40" s="411"/>
      <c r="K40" s="411"/>
      <c r="L40" s="411"/>
      <c r="M40" s="411"/>
      <c r="N40" s="411"/>
      <c r="O40" s="411"/>
      <c r="P40" s="411"/>
      <c r="Q40" s="411"/>
    </row>
    <row r="41" spans="1:17" ht="15.75" customHeight="1">
      <c r="A41" s="319">
        <v>0.13</v>
      </c>
      <c r="B41" s="357">
        <f>SUM(B10/(1+$A41)^B13,C10/(1+$A41)^C13,D10/(1+$A41)^D13,E10/(1+$A41)^E13,F10/(1+$A41)^F13)+F10*(1+B$35)/($A41-B$35)/(1+$A41)^F13+'Balance Sheet'!N5-'Debt Schedule'!N68</f>
        <v>10314.588865548436</v>
      </c>
      <c r="C41" s="357">
        <f>SUM(B10/(1+$A41)^B13,C10/(1+$A41)^C13,D10/(1+$A41)^D13,E10/(1+$A41)^E13,F10/(1+$A41)^F13)+F10*(1+C$35)/($A41-C$35)/(1+$A41)^F13+'Balance Sheet'!N5-'Debt Schedule'!N68</f>
        <v>10769.055547081853</v>
      </c>
      <c r="D41" s="357">
        <f>SUM(B10/(1+$A41)^B13,C10/(1+$A41)^C13,D10/(1+$A41)^D13,E10/(1+$A41)^E13,F10/(1+$A41)^F13)+F10*(1+D$35)/($A41-D$35)/(1+$A41)^F13+'Balance Sheet'!N5-'Debt Schedule'!N68</f>
        <v>11263.041070487741</v>
      </c>
      <c r="E41" s="357">
        <f>SUM(B10/(1+$A41)^B13,C10/(1+$A41)^C13,D10/(1+$A41)^D13,E10/(1+$A41)^E13,F10/(1+$A41)^F13)+F10*(1+E$35)/($A41-E$35)/(1+$A41)^F13+'Balance Sheet'!N5-'Debt Schedule'!N68</f>
        <v>11801.934368748711</v>
      </c>
      <c r="F41" s="357">
        <f>SUM(B10/(1+$A41)^B13,C10/(1+$A41)^C13,D10/(1+$A41)^D13,E10/(1+$A41)^E13,F10/(1+$A41)^F13)+F10*(1+F$35)/($A41-F$35)/(1+$A41)^F13+'Balance Sheet'!N5-'Debt Schedule'!N68</f>
        <v>12392.150838272626</v>
      </c>
      <c r="G41" s="357">
        <f>SUM(B10/(1+$A41)^B13,C10/(1+$A41)^C13,D10/(1+$A41)^D13,E10/(1+$A41)^E13,F10/(1+$A41)^F13)+F10*(1+G$35)/($A41-G$35)/(1+$A41)^F13+'Balance Sheet'!N5-'Debt Schedule'!N68</f>
        <v>13041.388954748936</v>
      </c>
      <c r="H41" s="358">
        <f>SUM(B10/(1+$A41)^B13,C10/(1+$A41)^C13,D10/(1+$A41)^D13,E10/(1+$A41)^E13,F10/(1+$A41)^F13)+F10*(1+H$35)/($A41-H$35)/(1+$A41)^F13+'Balance Sheet'!N5-'Debt Schedule'!N68</f>
        <v>13758.967925591171</v>
      </c>
      <c r="I41" s="411"/>
      <c r="J41" s="411"/>
      <c r="K41" s="411"/>
      <c r="L41" s="411"/>
      <c r="M41" s="411"/>
      <c r="N41" s="411"/>
      <c r="O41" s="411"/>
      <c r="P41" s="411"/>
      <c r="Q41" s="411"/>
    </row>
    <row r="42" spans="1:17" ht="15.75" customHeight="1">
      <c r="A42" s="320">
        <v>0.14000000000000001</v>
      </c>
      <c r="B42" s="360">
        <f>SUM(B10/(1+$A42)^B13,C10/(1+$A42)^C13,D10/(1+$A42)^D13,E10/(1+$A42)^E13,F10/(1+$A42)^F13)+F10*(1+B$35)/($A42-B$35)/(1+$A42)^F13+'Balance Sheet'!N5-'Debt Schedule'!N68</f>
        <v>9156.0589911970183</v>
      </c>
      <c r="C42" s="360">
        <f>SUM(B10/(1+$A42)^B13,C10/(1+$A42)^C13,D10/(1+$A42)^D13,E10/(1+$A42)^E13,F10/(1+$A42)^F13)+F10*(1+C$35)/($A42-C$35)/(1+$A42)^F13+'Balance Sheet'!N5-'Debt Schedule'!N68</f>
        <v>9532.6966659056616</v>
      </c>
      <c r="D42" s="360">
        <f>SUM(B10/(1+$A42)^B13,C10/(1+$A42)^C13,D10/(1+$A42)^D13,E10/(1+$A42)^E13,F10/(1+$A42)^F13)+F10*(1+D$35)/($A42-D$35)/(1+$A42)^F13+'Balance Sheet'!N5-'Debt Schedule'!N68</f>
        <v>9939.465354590995</v>
      </c>
      <c r="E42" s="360">
        <f>SUM(B10/(1+$A42)^B13,C10/(1+$A42)^C13,D10/(1+$A42)^D13,E10/(1+$A42)^E13,F10/(1+$A42)^F13)+F10*(1+E$35)/($A42-E$35)/(1+$A42)^F13+'Balance Sheet'!N5-'Debt Schedule'!N68</f>
        <v>10380.131434000106</v>
      </c>
      <c r="F42" s="360">
        <f>SUM(B10/(1+$A42)^B13,C10/(1+$A42)^C13,D10/(1+$A42)^D13,E10/(1+$A42)^E13,F10/(1+$A42)^F13)+F10*(1+F$35)/($A42-F$35)/(1+$A42)^F13+'Balance Sheet'!N5-'Debt Schedule'!N68</f>
        <v>10859.116302923054</v>
      </c>
      <c r="G42" s="360">
        <f>SUM(B10/(1+$A42)^B13,C10/(1+$A42)^C13,D10/(1+$A42)^D13,E10/(1+$A42)^E13,F10/(1+$A42)^F13)+F10*(1+G$35)/($A42-G$35)/(1+$A42)^F13+'Balance Sheet'!N5-'Debt Schedule'!N68</f>
        <v>11381.645250838998</v>
      </c>
      <c r="H42" s="361">
        <f>SUM(B10/(1+$A42)^B13,C10/(1+$A42)^C13,D10/(1+$A42)^D13,E10/(1+$A42)^E13,F10/(1+$A42)^F13)+F10*(1+H$35)/($A42-H$35)/(1+$A42)^F13+'Balance Sheet'!N5-'Debt Schedule'!N68</f>
        <v>11953.93886046122</v>
      </c>
      <c r="I42" s="411"/>
      <c r="J42" s="411"/>
      <c r="K42" s="411"/>
      <c r="L42" s="411"/>
      <c r="M42" s="411"/>
      <c r="N42" s="411"/>
      <c r="O42" s="411"/>
      <c r="P42" s="411"/>
      <c r="Q42" s="411"/>
    </row>
    <row r="43" spans="1:17" ht="15.75" customHeight="1">
      <c r="A43" s="247"/>
      <c r="B43" s="247"/>
      <c r="C43" s="247"/>
      <c r="D43" s="247"/>
      <c r="E43" s="247"/>
      <c r="F43" s="247"/>
      <c r="G43" s="247"/>
      <c r="H43" s="247"/>
    </row>
    <row r="44" spans="1:17" ht="15.75" customHeight="1">
      <c r="A44" s="321" t="str">
        <f>"Note: This DCF is included as a cross-reference only. With "&amp;TEXT('DCF &amp; Returns'!B30,"0%")&amp;_xlfn._LONGTEXT(" of enterprise value derived from the terminal value and negative/low FCFs in Years 1-2, the perpetuity-growth model overstates precision for a business at this stage. The primary valuation method is the EV/EBITDA multiples-based exit analysis on the IRR ","&amp; MOIC sheet, which uses market-observable multiples (")&amp;TEXT(Assumptions!G165,"0.0")&amp;"x base case) and produces a directly comparable equity value by exit year."</f>
        <v>Note: This DCF is included as a cross-reference only. With 85% of enterprise value derived from the terminal value and negative/low FCFs in Years 1-2, the perpetuity-growth model overstates precision for a business at this stage. The primary valuation method is the EV/EBITDA multiples-based exit analysis on the IRR &amp; MOIC sheet, which uses market-observable multiples (5.0x base case) and produces a directly comparable equity value by exit year.</v>
      </c>
      <c r="B44" s="247"/>
      <c r="C44" s="247"/>
      <c r="D44" s="247"/>
      <c r="E44" s="247"/>
      <c r="F44" s="247"/>
      <c r="G44" s="247"/>
      <c r="H44" s="247"/>
    </row>
    <row r="47" spans="1:17" ht="16" customHeight="1">
      <c r="A47" s="1" t="s">
        <v>640</v>
      </c>
      <c r="B47" s="1"/>
      <c r="C47" s="1"/>
      <c r="D47" s="1"/>
      <c r="E47" s="1"/>
      <c r="F47" s="1"/>
      <c r="G47" s="1"/>
      <c r="H47" s="1"/>
      <c r="I47" s="1"/>
      <c r="J47" s="1"/>
      <c r="K47" s="1"/>
      <c r="L47" s="1"/>
      <c r="M47" s="1"/>
      <c r="N47" s="1"/>
      <c r="O47" s="1"/>
      <c r="P47" s="1"/>
      <c r="Q47" s="1"/>
    </row>
    <row r="48" spans="1:17" ht="16" customHeight="1">
      <c r="A48" s="8"/>
      <c r="B48" s="69"/>
      <c r="C48" s="69"/>
      <c r="D48" s="69"/>
      <c r="E48" s="69"/>
      <c r="F48" s="69"/>
      <c r="G48" s="69"/>
      <c r="H48" s="69"/>
      <c r="I48" s="69"/>
      <c r="J48" s="69"/>
      <c r="K48" s="69"/>
      <c r="L48" s="69"/>
      <c r="M48" s="69"/>
      <c r="N48" s="69"/>
      <c r="O48" s="69"/>
      <c r="P48" s="69"/>
      <c r="Q48" s="69"/>
    </row>
    <row r="49" spans="1:17" ht="16" customHeight="1">
      <c r="A49" s="64" t="s">
        <v>641</v>
      </c>
      <c r="B49" s="142"/>
      <c r="C49" s="142"/>
      <c r="D49" s="142"/>
      <c r="E49" s="142" t="s">
        <v>642</v>
      </c>
      <c r="F49" s="142"/>
      <c r="G49" s="142"/>
      <c r="H49" s="142"/>
      <c r="I49" s="142"/>
      <c r="J49" s="142"/>
      <c r="K49" s="142"/>
      <c r="L49" s="142"/>
      <c r="M49" s="142"/>
      <c r="N49" s="142"/>
      <c r="O49" s="142"/>
      <c r="P49" s="142"/>
      <c r="Q49" s="142"/>
    </row>
    <row r="50" spans="1:17" ht="16" customHeight="1">
      <c r="A50" s="39" t="s">
        <v>236</v>
      </c>
      <c r="B50" s="109">
        <f>Assumptions!B79</f>
        <v>1500</v>
      </c>
      <c r="C50" s="284"/>
      <c r="D50" s="284"/>
      <c r="E50" s="281" t="s">
        <v>643</v>
      </c>
      <c r="F50" s="281" t="s">
        <v>512</v>
      </c>
      <c r="G50" s="281" t="s">
        <v>2</v>
      </c>
      <c r="H50" s="281" t="s">
        <v>3</v>
      </c>
      <c r="I50" s="281" t="s">
        <v>4</v>
      </c>
      <c r="J50" s="281" t="s">
        <v>5</v>
      </c>
      <c r="K50" s="284"/>
      <c r="L50" s="284"/>
      <c r="M50" s="284"/>
      <c r="N50" s="284"/>
      <c r="O50" s="284"/>
      <c r="P50" s="284"/>
      <c r="Q50" s="284"/>
    </row>
    <row r="51" spans="1:17" ht="16" customHeight="1">
      <c r="A51" s="45" t="s">
        <v>241</v>
      </c>
      <c r="B51" s="290">
        <f>Assumptions!B81</f>
        <v>3000</v>
      </c>
      <c r="C51" s="280"/>
      <c r="D51" s="280"/>
      <c r="E51" s="280" t="s">
        <v>542</v>
      </c>
      <c r="F51" s="291">
        <f>'Income Statement'!N30</f>
        <v>1152.4848050000012</v>
      </c>
      <c r="G51" s="291">
        <f>'Income Statement'!O30</f>
        <v>1800.6760000000022</v>
      </c>
      <c r="H51" s="291">
        <f>'Income Statement'!P30</f>
        <v>2565.3756799999992</v>
      </c>
      <c r="I51" s="291">
        <f>'Income Statement'!Q30</f>
        <v>3442.6023872000005</v>
      </c>
      <c r="J51" s="291">
        <f>'Income Statement'!R30</f>
        <v>4336.0739226879996</v>
      </c>
      <c r="K51" s="280"/>
      <c r="L51" s="280"/>
      <c r="M51" s="280"/>
      <c r="N51" s="280"/>
      <c r="O51" s="280"/>
      <c r="P51" s="280"/>
      <c r="Q51" s="280"/>
    </row>
    <row r="52" spans="1:17" ht="16" customHeight="1">
      <c r="A52" s="45" t="s">
        <v>644</v>
      </c>
      <c r="B52" s="102">
        <f>B50/B51</f>
        <v>0.5</v>
      </c>
      <c r="C52" s="280"/>
      <c r="D52" s="280"/>
      <c r="E52" s="280" t="s">
        <v>645</v>
      </c>
      <c r="F52" s="291">
        <f>'Debt Schedule'!N68</f>
        <v>4602.3638612352934</v>
      </c>
      <c r="G52" s="291">
        <f>'Debt Schedule'!O68</f>
        <v>2967.600286186087</v>
      </c>
      <c r="H52" s="291">
        <f>'Debt Schedule'!P68</f>
        <v>2123.0705771217554</v>
      </c>
      <c r="I52" s="291">
        <f>'Debt Schedule'!Q68</f>
        <v>1330.7031842919205</v>
      </c>
      <c r="J52" s="291">
        <f>'Debt Schedule'!R68</f>
        <v>477.06525055544989</v>
      </c>
      <c r="K52" s="280"/>
      <c r="L52" s="280"/>
      <c r="M52" s="280"/>
      <c r="N52" s="280"/>
      <c r="O52" s="280"/>
      <c r="P52" s="280"/>
      <c r="Q52" s="280"/>
    </row>
    <row r="53" spans="1:17" ht="16" customHeight="1">
      <c r="A53" s="39" t="s">
        <v>646</v>
      </c>
      <c r="B53" s="292">
        <v>46023</v>
      </c>
      <c r="C53" s="284"/>
      <c r="D53" s="284"/>
      <c r="E53" s="284" t="s">
        <v>647</v>
      </c>
      <c r="F53" s="293">
        <f>'Balance Sheet'!N5</f>
        <v>2631.0098113173053</v>
      </c>
      <c r="G53" s="293">
        <f>'Balance Sheet'!O5</f>
        <v>1024.4750854414967</v>
      </c>
      <c r="H53" s="293">
        <f>'Balance Sheet'!P5</f>
        <v>836.37421924441742</v>
      </c>
      <c r="I53" s="293">
        <f>'Balance Sheet'!Q5</f>
        <v>1216.289271295316</v>
      </c>
      <c r="J53" s="293">
        <f>'Balance Sheet'!R5</f>
        <v>2202.2551322077707</v>
      </c>
      <c r="K53" s="284"/>
      <c r="L53" s="284"/>
      <c r="M53" s="284"/>
      <c r="N53" s="284"/>
      <c r="O53" s="284"/>
      <c r="P53" s="284"/>
      <c r="Q53" s="284"/>
    </row>
    <row r="54" spans="1:17" ht="16" customHeight="1">
      <c r="A54" s="39" t="s">
        <v>90</v>
      </c>
      <c r="B54" s="294">
        <f>Assumptions!B11</f>
        <v>0.11147818387676381</v>
      </c>
      <c r="C54" s="280"/>
      <c r="D54" s="280"/>
      <c r="E54" s="280" t="s">
        <v>648</v>
      </c>
      <c r="F54" s="295">
        <f>F52-F53</f>
        <v>1971.354049917988</v>
      </c>
      <c r="G54" s="295">
        <f>G52-G53</f>
        <v>1943.1252007445903</v>
      </c>
      <c r="H54" s="295">
        <f>H52-H53</f>
        <v>1286.696357877338</v>
      </c>
      <c r="I54" s="295">
        <f>I52-I53</f>
        <v>114.41391299660449</v>
      </c>
      <c r="J54" s="295">
        <f>J52-J53</f>
        <v>-1725.1898816523208</v>
      </c>
      <c r="K54" s="280"/>
      <c r="L54" s="280"/>
      <c r="M54" s="280"/>
      <c r="N54" s="280"/>
      <c r="O54" s="280"/>
      <c r="P54" s="280"/>
      <c r="Q54" s="280"/>
    </row>
    <row r="55" spans="1:17" ht="16" customHeight="1">
      <c r="A55" s="39" t="s">
        <v>144</v>
      </c>
      <c r="B55" s="294">
        <f>Assumptions!B12</f>
        <v>2.5000000000000001E-2</v>
      </c>
      <c r="C55" s="280"/>
      <c r="D55" s="280"/>
      <c r="E55" s="280" t="s">
        <v>649</v>
      </c>
      <c r="F55" s="291">
        <f>-'Cash Flow'!N31</f>
        <v>27.796501115636623</v>
      </c>
      <c r="G55" s="291">
        <f>-'Cash Flow'!O31</f>
        <v>47.198457610555877</v>
      </c>
      <c r="H55" s="291">
        <f>-'Cash Flow'!P31</f>
        <v>88.064391052805149</v>
      </c>
      <c r="I55" s="291">
        <f>-'Cash Flow'!Q31</f>
        <v>132.25870333985279</v>
      </c>
      <c r="J55" s="291">
        <f>-'Cash Flow'!R31</f>
        <v>177.3893862839596</v>
      </c>
      <c r="K55" s="280"/>
      <c r="L55" s="280"/>
      <c r="M55" s="280"/>
      <c r="N55" s="280"/>
      <c r="O55" s="280"/>
      <c r="P55" s="280"/>
      <c r="Q55" s="280"/>
    </row>
    <row r="56" spans="1:17" ht="16" customHeight="1">
      <c r="A56" s="8"/>
      <c r="B56" s="280"/>
      <c r="C56" s="280"/>
      <c r="D56" s="280"/>
      <c r="E56" s="280" t="s">
        <v>650</v>
      </c>
      <c r="F56" s="295">
        <f>F55</f>
        <v>27.796501115636623</v>
      </c>
      <c r="G56" s="295">
        <f>F56+G55</f>
        <v>74.994958726192493</v>
      </c>
      <c r="H56" s="295">
        <f>G56+H55</f>
        <v>163.05934977899764</v>
      </c>
      <c r="I56" s="295">
        <f>H56+I55</f>
        <v>295.31805311885046</v>
      </c>
      <c r="J56" s="295">
        <f>I56+J55</f>
        <v>472.70743940281005</v>
      </c>
      <c r="K56" s="280"/>
      <c r="L56" s="280"/>
      <c r="M56" s="280"/>
      <c r="N56" s="280"/>
      <c r="O56" s="280"/>
      <c r="P56" s="280"/>
      <c r="Q56" s="280"/>
    </row>
    <row r="57" spans="1:17" ht="16" customHeight="1">
      <c r="A57" s="64" t="s">
        <v>651</v>
      </c>
      <c r="B57" s="142"/>
      <c r="C57" s="142"/>
      <c r="D57" s="142"/>
      <c r="E57" s="142"/>
      <c r="F57" s="142"/>
      <c r="G57" s="142"/>
      <c r="H57" s="142"/>
      <c r="I57" s="142"/>
      <c r="J57" s="142"/>
      <c r="K57" s="142"/>
      <c r="L57" s="142"/>
      <c r="M57" s="142"/>
      <c r="N57" s="142"/>
      <c r="O57" s="142"/>
      <c r="P57" s="142"/>
      <c r="Q57" s="142"/>
    </row>
    <row r="58" spans="1:17" ht="16" customHeight="1">
      <c r="A58" s="39" t="s">
        <v>652</v>
      </c>
      <c r="B58" s="296">
        <f>Assumptions!G165</f>
        <v>5</v>
      </c>
      <c r="C58" s="284"/>
      <c r="D58" s="284"/>
      <c r="E58" s="284"/>
      <c r="F58" s="284"/>
      <c r="G58" s="284"/>
      <c r="H58" s="284"/>
      <c r="I58" s="284"/>
      <c r="J58" s="284"/>
      <c r="K58" s="284"/>
      <c r="L58" s="284"/>
      <c r="M58" s="284"/>
      <c r="N58" s="284"/>
      <c r="O58" s="284"/>
      <c r="P58" s="284"/>
      <c r="Q58" s="284"/>
    </row>
    <row r="59" spans="1:17" ht="16" customHeight="1">
      <c r="A59" s="39" t="s">
        <v>653</v>
      </c>
      <c r="B59" s="297">
        <f>B32</f>
        <v>15.765240392909112</v>
      </c>
      <c r="C59" s="280"/>
      <c r="D59" s="280"/>
      <c r="E59" s="280"/>
      <c r="F59" s="280"/>
      <c r="G59" s="280"/>
      <c r="H59" s="280"/>
      <c r="I59" s="280"/>
      <c r="J59" s="280"/>
      <c r="K59" s="280"/>
      <c r="L59" s="280"/>
      <c r="M59" s="280"/>
      <c r="N59" s="280"/>
      <c r="O59" s="280"/>
      <c r="P59" s="280"/>
      <c r="Q59" s="280"/>
    </row>
    <row r="60" spans="1:17" ht="16" customHeight="1">
      <c r="A60" s="39" t="s">
        <v>654</v>
      </c>
      <c r="B60" s="294">
        <f>Assumptions!B102</f>
        <v>0.4</v>
      </c>
      <c r="C60" s="280"/>
      <c r="D60" s="280"/>
      <c r="E60" s="280"/>
      <c r="F60" s="280"/>
      <c r="G60" s="280"/>
      <c r="H60" s="280"/>
      <c r="I60" s="280"/>
      <c r="J60" s="280"/>
      <c r="K60" s="280"/>
      <c r="L60" s="280"/>
      <c r="M60" s="280"/>
      <c r="N60" s="280"/>
      <c r="O60" s="280"/>
      <c r="P60" s="280"/>
      <c r="Q60" s="280"/>
    </row>
    <row r="61" spans="1:17" ht="16" customHeight="1">
      <c r="A61" s="8"/>
      <c r="B61" s="280"/>
      <c r="C61" s="280"/>
      <c r="D61" s="280"/>
      <c r="E61" s="280"/>
      <c r="F61" s="280"/>
      <c r="G61" s="280"/>
      <c r="H61" s="280"/>
      <c r="I61" s="280"/>
      <c r="J61" s="280"/>
      <c r="K61" s="280"/>
      <c r="L61" s="280"/>
      <c r="M61" s="280"/>
      <c r="N61" s="280"/>
      <c r="O61" s="280"/>
      <c r="P61" s="280"/>
      <c r="Q61" s="280"/>
    </row>
    <row r="62" spans="1:17" ht="16" customHeight="1">
      <c r="A62" s="64" t="s">
        <v>655</v>
      </c>
      <c r="B62" s="142"/>
      <c r="C62" s="142"/>
      <c r="D62" s="142"/>
      <c r="E62" s="142" t="s">
        <v>655</v>
      </c>
      <c r="F62" s="142"/>
      <c r="G62" s="142"/>
      <c r="H62" s="142"/>
      <c r="I62" s="142"/>
      <c r="J62" s="142"/>
      <c r="K62" s="142"/>
      <c r="L62" s="142"/>
      <c r="M62" s="142"/>
      <c r="N62" s="142"/>
      <c r="O62" s="142"/>
      <c r="P62" s="142"/>
      <c r="Q62" s="142"/>
    </row>
    <row r="63" spans="1:17" ht="16" customHeight="1">
      <c r="A63" s="39" t="s">
        <v>656</v>
      </c>
      <c r="B63" s="284"/>
      <c r="C63" s="284"/>
      <c r="D63" s="284"/>
      <c r="E63" s="281" t="s">
        <v>656</v>
      </c>
      <c r="F63" s="281" t="s">
        <v>512</v>
      </c>
      <c r="G63" s="281" t="s">
        <v>2</v>
      </c>
      <c r="H63" s="281" t="s">
        <v>3</v>
      </c>
      <c r="I63" s="281" t="s">
        <v>4</v>
      </c>
      <c r="J63" s="281" t="s">
        <v>5</v>
      </c>
      <c r="K63" s="284"/>
      <c r="L63" s="284"/>
      <c r="M63" s="284"/>
      <c r="N63" s="284"/>
      <c r="O63" s="284"/>
      <c r="P63" s="284"/>
      <c r="Q63" s="284"/>
    </row>
    <row r="64" spans="1:17" ht="16" customHeight="1">
      <c r="A64" s="39" t="s">
        <v>657</v>
      </c>
      <c r="B64" s="284"/>
      <c r="C64" s="284"/>
      <c r="D64" s="284"/>
      <c r="E64" s="293" t="s">
        <v>657</v>
      </c>
      <c r="F64" s="293">
        <f>F51</f>
        <v>1152.4848050000012</v>
      </c>
      <c r="G64" s="293">
        <f>G51</f>
        <v>1800.6760000000022</v>
      </c>
      <c r="H64" s="293">
        <f>H51</f>
        <v>2565.3756799999992</v>
      </c>
      <c r="I64" s="293">
        <f>I51</f>
        <v>3442.6023872000005</v>
      </c>
      <c r="J64" s="293">
        <f>J51</f>
        <v>4336.0739226879996</v>
      </c>
      <c r="K64" s="284"/>
      <c r="L64" s="284"/>
      <c r="M64" s="284"/>
      <c r="N64" s="284"/>
      <c r="O64" s="284"/>
      <c r="P64" s="284"/>
      <c r="Q64" s="284"/>
    </row>
    <row r="65" spans="1:17" ht="16" customHeight="1">
      <c r="A65" s="39" t="s">
        <v>658</v>
      </c>
      <c r="B65" s="284"/>
      <c r="C65" s="284"/>
      <c r="D65" s="284"/>
      <c r="E65" s="293" t="s">
        <v>658</v>
      </c>
      <c r="F65" s="293">
        <f>F54</f>
        <v>1971.354049917988</v>
      </c>
      <c r="G65" s="293">
        <f>G54</f>
        <v>1943.1252007445903</v>
      </c>
      <c r="H65" s="293">
        <f>H54</f>
        <v>1286.696357877338</v>
      </c>
      <c r="I65" s="293">
        <f>I54</f>
        <v>114.41391299660449</v>
      </c>
      <c r="J65" s="293">
        <f>J54</f>
        <v>-1725.1898816523208</v>
      </c>
      <c r="K65" s="284"/>
      <c r="L65" s="284"/>
      <c r="M65" s="284"/>
      <c r="N65" s="284"/>
      <c r="O65" s="284"/>
      <c r="P65" s="284"/>
      <c r="Q65" s="284"/>
    </row>
    <row r="66" spans="1:17" ht="16" customHeight="1">
      <c r="A66" s="39" t="s">
        <v>659</v>
      </c>
      <c r="B66" s="280"/>
      <c r="C66" s="280"/>
      <c r="D66" s="280"/>
      <c r="E66" s="298" t="s">
        <v>659</v>
      </c>
      <c r="F66" s="298">
        <v>1</v>
      </c>
      <c r="G66" s="298">
        <v>2</v>
      </c>
      <c r="H66" s="298">
        <v>3</v>
      </c>
      <c r="I66" s="298">
        <v>4</v>
      </c>
      <c r="J66" s="298">
        <v>5</v>
      </c>
      <c r="K66" s="280"/>
      <c r="L66" s="280"/>
      <c r="M66" s="280"/>
      <c r="N66" s="280"/>
      <c r="O66" s="280"/>
      <c r="P66" s="280"/>
      <c r="Q66" s="280"/>
    </row>
    <row r="67" spans="1:17" ht="16" customHeight="1">
      <c r="A67" s="8"/>
      <c r="B67" s="280"/>
      <c r="C67" s="280"/>
      <c r="D67" s="280"/>
      <c r="E67" s="280"/>
      <c r="F67" s="280"/>
      <c r="G67" s="280"/>
      <c r="H67" s="280"/>
      <c r="I67" s="280"/>
      <c r="J67" s="280"/>
      <c r="K67" s="280"/>
      <c r="L67" s="280"/>
      <c r="M67" s="280"/>
      <c r="N67" s="280"/>
      <c r="O67" s="280"/>
      <c r="P67" s="280"/>
      <c r="Q67" s="280"/>
    </row>
    <row r="68" spans="1:17" ht="16" customHeight="1">
      <c r="A68" s="64" t="s">
        <v>660</v>
      </c>
      <c r="B68" s="142"/>
      <c r="C68" s="142"/>
      <c r="D68" s="142"/>
      <c r="E68" s="142"/>
      <c r="F68" s="142"/>
      <c r="G68" s="142"/>
      <c r="H68" s="142"/>
      <c r="I68" s="142"/>
      <c r="J68" s="142"/>
      <c r="K68" s="142"/>
      <c r="L68" s="142"/>
      <c r="M68" s="142"/>
      <c r="N68" s="142"/>
      <c r="O68" s="142"/>
      <c r="P68" s="142"/>
      <c r="Q68" s="142"/>
    </row>
    <row r="69" spans="1:17" ht="16" customHeight="1">
      <c r="A69" s="164" t="s">
        <v>661</v>
      </c>
      <c r="B69" s="142"/>
      <c r="C69" s="142"/>
      <c r="D69" s="142"/>
      <c r="E69" s="142"/>
      <c r="F69" s="113" t="s">
        <v>512</v>
      </c>
      <c r="G69" s="113" t="s">
        <v>2</v>
      </c>
      <c r="H69" s="113" t="s">
        <v>3</v>
      </c>
      <c r="I69" s="113" t="s">
        <v>4</v>
      </c>
      <c r="J69" s="113" t="s">
        <v>5</v>
      </c>
      <c r="K69" s="142"/>
      <c r="L69" s="142"/>
      <c r="M69" s="142"/>
      <c r="N69" s="142"/>
      <c r="O69" s="142"/>
      <c r="P69" s="142"/>
      <c r="Q69" s="142"/>
    </row>
    <row r="70" spans="1:17" ht="16" customHeight="1">
      <c r="A70" s="299">
        <f>Assumptions!G165-3</f>
        <v>2</v>
      </c>
      <c r="B70" s="280"/>
      <c r="C70" s="280"/>
      <c r="D70" s="280"/>
      <c r="E70" s="280"/>
      <c r="F70" s="300">
        <f t="shared" ref="F70:J77" si="0">F$64*$A70-F$65</f>
        <v>333.61556008201433</v>
      </c>
      <c r="G70" s="300">
        <f t="shared" si="0"/>
        <v>1658.2267992554141</v>
      </c>
      <c r="H70" s="300">
        <f t="shared" si="0"/>
        <v>3844.0550021226604</v>
      </c>
      <c r="I70" s="300">
        <f t="shared" si="0"/>
        <v>6770.7908614033968</v>
      </c>
      <c r="J70" s="300">
        <f t="shared" si="0"/>
        <v>10397.33772702832</v>
      </c>
      <c r="K70" s="280"/>
      <c r="L70" s="280"/>
      <c r="M70" s="280"/>
      <c r="N70" s="280"/>
      <c r="O70" s="280"/>
      <c r="P70" s="280"/>
      <c r="Q70" s="280"/>
    </row>
    <row r="71" spans="1:17" ht="16" customHeight="1">
      <c r="A71" s="299">
        <f>Assumptions!G165-2</f>
        <v>3</v>
      </c>
      <c r="B71" s="280"/>
      <c r="C71" s="280"/>
      <c r="D71" s="280"/>
      <c r="E71" s="280"/>
      <c r="F71" s="300">
        <f t="shared" si="0"/>
        <v>1486.1003650820157</v>
      </c>
      <c r="G71" s="300">
        <f t="shared" si="0"/>
        <v>3458.9027992554165</v>
      </c>
      <c r="H71" s="300">
        <f t="shared" si="0"/>
        <v>6409.4306821226601</v>
      </c>
      <c r="I71" s="300">
        <f t="shared" si="0"/>
        <v>10213.393248603397</v>
      </c>
      <c r="J71" s="300">
        <f t="shared" si="0"/>
        <v>14733.41164971632</v>
      </c>
      <c r="K71" s="280"/>
      <c r="L71" s="280"/>
      <c r="M71" s="280"/>
      <c r="N71" s="280"/>
      <c r="O71" s="280"/>
      <c r="P71" s="280"/>
      <c r="Q71" s="280"/>
    </row>
    <row r="72" spans="1:17" ht="16" customHeight="1">
      <c r="A72" s="299">
        <f>Assumptions!G165-1</f>
        <v>4</v>
      </c>
      <c r="B72" s="280"/>
      <c r="C72" s="280"/>
      <c r="D72" s="280"/>
      <c r="E72" s="280"/>
      <c r="F72" s="300">
        <f t="shared" si="0"/>
        <v>2638.5851700820167</v>
      </c>
      <c r="G72" s="300">
        <f t="shared" si="0"/>
        <v>5259.5787992554187</v>
      </c>
      <c r="H72" s="300">
        <f t="shared" si="0"/>
        <v>8974.8063621226593</v>
      </c>
      <c r="I72" s="300">
        <f t="shared" si="0"/>
        <v>13655.995635803398</v>
      </c>
      <c r="J72" s="300">
        <f t="shared" si="0"/>
        <v>19069.485572404319</v>
      </c>
      <c r="K72" s="280"/>
      <c r="L72" s="280"/>
      <c r="M72" s="280"/>
      <c r="N72" s="280"/>
      <c r="O72" s="280"/>
      <c r="P72" s="280"/>
      <c r="Q72" s="280"/>
    </row>
    <row r="73" spans="1:17" ht="16" customHeight="1">
      <c r="A73" s="301">
        <f>Assumptions!G165</f>
        <v>5</v>
      </c>
      <c r="B73" s="280"/>
      <c r="C73" s="280"/>
      <c r="D73" s="280"/>
      <c r="E73" s="280"/>
      <c r="F73" s="300">
        <f t="shared" si="0"/>
        <v>3791.0699750820177</v>
      </c>
      <c r="G73" s="300">
        <f t="shared" si="0"/>
        <v>7060.2547992554219</v>
      </c>
      <c r="H73" s="300">
        <f t="shared" si="0"/>
        <v>11540.182042122658</v>
      </c>
      <c r="I73" s="300">
        <f t="shared" si="0"/>
        <v>17098.598023003397</v>
      </c>
      <c r="J73" s="300">
        <f t="shared" si="0"/>
        <v>23405.559495092319</v>
      </c>
      <c r="K73" s="280"/>
      <c r="L73" s="280"/>
      <c r="M73" s="280"/>
      <c r="N73" s="280"/>
      <c r="O73" s="280"/>
      <c r="P73" s="280"/>
      <c r="Q73" s="280"/>
    </row>
    <row r="74" spans="1:17" ht="16" customHeight="1">
      <c r="A74" s="299">
        <f>Assumptions!G165+1</f>
        <v>6</v>
      </c>
      <c r="B74" s="280"/>
      <c r="C74" s="280"/>
      <c r="D74" s="280"/>
      <c r="E74" s="280"/>
      <c r="F74" s="300">
        <f t="shared" si="0"/>
        <v>4943.5547800820195</v>
      </c>
      <c r="G74" s="300">
        <f t="shared" si="0"/>
        <v>8860.9307992554222</v>
      </c>
      <c r="H74" s="300">
        <f t="shared" si="0"/>
        <v>14105.557722122658</v>
      </c>
      <c r="I74" s="300">
        <f t="shared" si="0"/>
        <v>20541.200410203397</v>
      </c>
      <c r="J74" s="300">
        <f t="shared" si="0"/>
        <v>27741.633417780318</v>
      </c>
      <c r="K74" s="280"/>
      <c r="L74" s="280"/>
      <c r="M74" s="280"/>
      <c r="N74" s="280"/>
      <c r="O74" s="280"/>
      <c r="P74" s="280"/>
      <c r="Q74" s="280"/>
    </row>
    <row r="75" spans="1:17" ht="16" customHeight="1">
      <c r="A75" s="299">
        <f>Assumptions!G165+2</f>
        <v>7</v>
      </c>
      <c r="B75" s="280"/>
      <c r="C75" s="280"/>
      <c r="D75" s="280"/>
      <c r="E75" s="280"/>
      <c r="F75" s="300">
        <f t="shared" si="0"/>
        <v>6096.0395850820205</v>
      </c>
      <c r="G75" s="300">
        <f t="shared" si="0"/>
        <v>10661.606799255424</v>
      </c>
      <c r="H75" s="300">
        <f t="shared" si="0"/>
        <v>16670.933402122657</v>
      </c>
      <c r="I75" s="300">
        <f t="shared" si="0"/>
        <v>23983.802797403398</v>
      </c>
      <c r="J75" s="300">
        <f t="shared" si="0"/>
        <v>32077.707340468318</v>
      </c>
      <c r="K75" s="280"/>
      <c r="L75" s="280"/>
      <c r="M75" s="280"/>
      <c r="N75" s="280"/>
      <c r="O75" s="280"/>
      <c r="P75" s="280"/>
      <c r="Q75" s="280"/>
    </row>
    <row r="76" spans="1:17" ht="16" customHeight="1">
      <c r="A76" s="299">
        <f>Assumptions!G165+3</f>
        <v>8</v>
      </c>
      <c r="B76" s="280"/>
      <c r="C76" s="280"/>
      <c r="D76" s="280"/>
      <c r="E76" s="280"/>
      <c r="F76" s="300">
        <f t="shared" si="0"/>
        <v>7248.5243900820215</v>
      </c>
      <c r="G76" s="300">
        <f t="shared" si="0"/>
        <v>12462.282799255427</v>
      </c>
      <c r="H76" s="300">
        <f t="shared" si="0"/>
        <v>19236.309082122654</v>
      </c>
      <c r="I76" s="300">
        <f t="shared" si="0"/>
        <v>27426.405184603398</v>
      </c>
      <c r="J76" s="300">
        <f t="shared" si="0"/>
        <v>36413.781263156314</v>
      </c>
      <c r="K76" s="280"/>
      <c r="L76" s="280"/>
      <c r="M76" s="280"/>
      <c r="N76" s="280"/>
      <c r="O76" s="280"/>
      <c r="P76" s="280"/>
      <c r="Q76" s="280"/>
    </row>
    <row r="77" spans="1:17" ht="16" customHeight="1">
      <c r="A77" s="299">
        <f>Assumptions!G165+4</f>
        <v>9</v>
      </c>
      <c r="B77" s="280"/>
      <c r="C77" s="280"/>
      <c r="D77" s="280"/>
      <c r="E77" s="280"/>
      <c r="F77" s="300">
        <f t="shared" si="0"/>
        <v>8401.0091950820242</v>
      </c>
      <c r="G77" s="300">
        <f t="shared" si="0"/>
        <v>14262.95879925543</v>
      </c>
      <c r="H77" s="300">
        <f t="shared" si="0"/>
        <v>21801.684762122652</v>
      </c>
      <c r="I77" s="300">
        <f t="shared" si="0"/>
        <v>30869.007571803399</v>
      </c>
      <c r="J77" s="300">
        <f t="shared" si="0"/>
        <v>40749.85518584431</v>
      </c>
      <c r="K77" s="280"/>
      <c r="L77" s="280"/>
      <c r="M77" s="280"/>
      <c r="N77" s="280"/>
      <c r="O77" s="280"/>
      <c r="P77" s="280"/>
      <c r="Q77" s="280"/>
    </row>
    <row r="78" spans="1:17" ht="16" customHeight="1">
      <c r="A78" s="8"/>
      <c r="B78" s="280"/>
      <c r="C78" s="280"/>
      <c r="D78" s="280"/>
      <c r="E78" s="280"/>
      <c r="F78" s="280"/>
      <c r="G78" s="280"/>
      <c r="H78" s="280"/>
      <c r="I78" s="280"/>
      <c r="J78" s="280"/>
      <c r="K78" s="280"/>
      <c r="L78" s="280"/>
      <c r="M78" s="280"/>
      <c r="N78" s="280"/>
      <c r="O78" s="280"/>
      <c r="P78" s="280"/>
      <c r="Q78" s="280"/>
    </row>
    <row r="79" spans="1:17" ht="16" customHeight="1">
      <c r="A79" s="64" t="s">
        <v>662</v>
      </c>
      <c r="B79" s="142"/>
      <c r="C79" s="142"/>
      <c r="D79" s="142"/>
      <c r="E79" s="142"/>
      <c r="F79" s="142"/>
      <c r="G79" s="142"/>
      <c r="H79" s="142"/>
      <c r="I79" s="142"/>
      <c r="J79" s="142"/>
      <c r="K79" s="142"/>
      <c r="L79" s="142"/>
      <c r="M79" s="142"/>
      <c r="N79" s="142"/>
      <c r="O79" s="142"/>
      <c r="P79" s="142"/>
      <c r="Q79" s="142"/>
    </row>
    <row r="80" spans="1:17" ht="16" customHeight="1">
      <c r="A80" s="64" t="s">
        <v>661</v>
      </c>
      <c r="B80" s="142"/>
      <c r="C80" s="142"/>
      <c r="D80" s="142"/>
      <c r="E80" s="142"/>
      <c r="F80" s="113" t="s">
        <v>512</v>
      </c>
      <c r="G80" s="113" t="s">
        <v>2</v>
      </c>
      <c r="H80" s="113" t="s">
        <v>3</v>
      </c>
      <c r="I80" s="113" t="s">
        <v>4</v>
      </c>
      <c r="J80" s="113" t="s">
        <v>5</v>
      </c>
      <c r="K80" s="142"/>
      <c r="L80" s="142"/>
      <c r="M80" s="142"/>
      <c r="N80" s="142"/>
      <c r="O80" s="142"/>
      <c r="P80" s="142"/>
      <c r="Q80" s="142"/>
    </row>
    <row r="81" spans="1:17" ht="16" customHeight="1">
      <c r="A81" s="299">
        <f>Assumptions!G165-3</f>
        <v>2</v>
      </c>
      <c r="B81" s="280"/>
      <c r="C81" s="280"/>
      <c r="D81" s="280"/>
      <c r="E81" s="280"/>
      <c r="F81" s="302">
        <f>(F70+F56)/$B$50</f>
        <v>0.24094137413176728</v>
      </c>
      <c r="G81" s="302">
        <f>(G70+G56)/$B$50</f>
        <v>1.1554811719877376</v>
      </c>
      <c r="H81" s="302">
        <f>(H70+H56)/$B$50</f>
        <v>2.6714095679344387</v>
      </c>
      <c r="I81" s="302">
        <f>(I70+I56)/$B$50</f>
        <v>4.7107392763481641</v>
      </c>
      <c r="J81" s="302">
        <f>(J70+J56)/$B$50</f>
        <v>7.2466967776207527</v>
      </c>
      <c r="K81" s="280"/>
      <c r="L81" s="280"/>
      <c r="M81" s="280"/>
      <c r="N81" s="280"/>
      <c r="O81" s="280"/>
      <c r="P81" s="280"/>
      <c r="Q81" s="280"/>
    </row>
    <row r="82" spans="1:17" ht="16" customHeight="1">
      <c r="A82" s="299">
        <f>Assumptions!G165-2</f>
        <v>3</v>
      </c>
      <c r="B82" s="280"/>
      <c r="C82" s="280"/>
      <c r="D82" s="280"/>
      <c r="E82" s="280"/>
      <c r="F82" s="302">
        <f>(F71+F56)/$B$50</f>
        <v>1.0092645774651015</v>
      </c>
      <c r="G82" s="302">
        <f>(G71+G56)/$B$50</f>
        <v>2.3559318386544059</v>
      </c>
      <c r="H82" s="302">
        <f>(H71+H56)/$B$50</f>
        <v>4.3816600212677717</v>
      </c>
      <c r="I82" s="302">
        <f>(I71+I56)/$B$50</f>
        <v>7.0058075344814981</v>
      </c>
      <c r="J82" s="302">
        <f>(J71+J56)/$B$50</f>
        <v>10.13741272607942</v>
      </c>
      <c r="K82" s="280"/>
      <c r="L82" s="280"/>
      <c r="M82" s="280"/>
      <c r="N82" s="280"/>
      <c r="O82" s="280"/>
      <c r="P82" s="280"/>
      <c r="Q82" s="280"/>
    </row>
    <row r="83" spans="1:17" ht="16" customHeight="1">
      <c r="A83" s="299">
        <f>Assumptions!G165-1</f>
        <v>4</v>
      </c>
      <c r="B83" s="280"/>
      <c r="C83" s="280"/>
      <c r="D83" s="280"/>
      <c r="E83" s="280"/>
      <c r="F83" s="302">
        <f>(F72+F56)/$B$50</f>
        <v>1.7775877807984355</v>
      </c>
      <c r="G83" s="302">
        <f>(G72+G56)/$B$50</f>
        <v>3.5563825053210745</v>
      </c>
      <c r="H83" s="302">
        <f>(H72+H56)/$B$50</f>
        <v>6.0919104746011046</v>
      </c>
      <c r="I83" s="302">
        <f>(I72+I56)/$B$50</f>
        <v>9.300875792614832</v>
      </c>
      <c r="J83" s="302">
        <f>(J72+J56)/$B$50</f>
        <v>13.028128674538086</v>
      </c>
      <c r="K83" s="280"/>
      <c r="L83" s="280"/>
      <c r="M83" s="280"/>
      <c r="N83" s="280"/>
      <c r="O83" s="280"/>
      <c r="P83" s="280"/>
      <c r="Q83" s="280"/>
    </row>
    <row r="84" spans="1:17" ht="16" customHeight="1">
      <c r="A84" s="301">
        <f>Assumptions!G165</f>
        <v>5</v>
      </c>
      <c r="B84" s="280"/>
      <c r="C84" s="280"/>
      <c r="D84" s="280"/>
      <c r="E84" s="280"/>
      <c r="F84" s="303">
        <f>(F73+F56)/$B$50</f>
        <v>2.5459109841317695</v>
      </c>
      <c r="G84" s="303">
        <f>(G73+G56)/$B$50</f>
        <v>4.7568331719877426</v>
      </c>
      <c r="H84" s="303">
        <f>(H73+H56)/$B$50</f>
        <v>7.8021609279344375</v>
      </c>
      <c r="I84" s="303">
        <f>(I73+I56)/$B$50</f>
        <v>11.595944050748166</v>
      </c>
      <c r="J84" s="303">
        <f>(J73+J56)/$B$50</f>
        <v>15.918844622996753</v>
      </c>
      <c r="K84" s="280"/>
      <c r="L84" s="280"/>
      <c r="M84" s="280"/>
      <c r="N84" s="280"/>
      <c r="O84" s="280"/>
      <c r="P84" s="280"/>
      <c r="Q84" s="280"/>
    </row>
    <row r="85" spans="1:17" ht="16" customHeight="1">
      <c r="A85" s="299">
        <f>Assumptions!G165+1</f>
        <v>6</v>
      </c>
      <c r="B85" s="280"/>
      <c r="C85" s="280"/>
      <c r="D85" s="280"/>
      <c r="E85" s="280"/>
      <c r="F85" s="302">
        <f>(F74+F56)/$B$50</f>
        <v>3.3142341874651042</v>
      </c>
      <c r="G85" s="302">
        <f>(G74+G56)/$B$50</f>
        <v>5.9572838386544102</v>
      </c>
      <c r="H85" s="302">
        <f>(H74+H56)/$B$50</f>
        <v>9.5124113812677695</v>
      </c>
      <c r="I85" s="302">
        <f>(I74+I56)/$B$50</f>
        <v>13.8910123088815</v>
      </c>
      <c r="J85" s="302">
        <f>(J74+J56)/$B$50</f>
        <v>18.809560571455417</v>
      </c>
      <c r="K85" s="280"/>
      <c r="L85" s="280"/>
      <c r="M85" s="280"/>
      <c r="N85" s="280"/>
      <c r="O85" s="280"/>
      <c r="P85" s="280"/>
      <c r="Q85" s="280"/>
    </row>
    <row r="86" spans="1:17" ht="16" customHeight="1">
      <c r="A86" s="299">
        <f>Assumptions!G165+2</f>
        <v>7</v>
      </c>
      <c r="B86" s="280"/>
      <c r="C86" s="280"/>
      <c r="D86" s="280"/>
      <c r="E86" s="280"/>
      <c r="F86" s="302">
        <f>(F75+F56)/$B$50</f>
        <v>4.0825573907984385</v>
      </c>
      <c r="G86" s="302">
        <f>(G75+G56)/$B$50</f>
        <v>7.157734505321077</v>
      </c>
      <c r="H86" s="302">
        <f>(H75+H56)/$B$50</f>
        <v>11.222661834601102</v>
      </c>
      <c r="I86" s="302">
        <f>(I75+I56)/$B$50</f>
        <v>16.186080567014834</v>
      </c>
      <c r="J86" s="302">
        <f>(J75+J56)/$B$50</f>
        <v>21.700276519914084</v>
      </c>
      <c r="K86" s="280"/>
      <c r="L86" s="280"/>
      <c r="M86" s="280"/>
      <c r="N86" s="280"/>
      <c r="O86" s="280"/>
      <c r="P86" s="280"/>
      <c r="Q86" s="280"/>
    </row>
    <row r="87" spans="1:17" ht="16" customHeight="1">
      <c r="A87" s="299">
        <f>Assumptions!G165+3</f>
        <v>8</v>
      </c>
      <c r="B87" s="280"/>
      <c r="C87" s="280"/>
      <c r="D87" s="280"/>
      <c r="E87" s="280"/>
      <c r="F87" s="302">
        <f>(F76+F56)/$B$50</f>
        <v>4.8508805941317723</v>
      </c>
      <c r="G87" s="302">
        <f>(G76+G56)/$B$50</f>
        <v>8.3581851719877456</v>
      </c>
      <c r="H87" s="302">
        <f>(H76+H56)/$B$50</f>
        <v>12.932912287934434</v>
      </c>
      <c r="I87" s="302">
        <f>(I76+I56)/$B$50</f>
        <v>18.481148825148168</v>
      </c>
      <c r="J87" s="302">
        <f>(J76+J56)/$B$50</f>
        <v>24.59099246837275</v>
      </c>
      <c r="K87" s="280"/>
      <c r="L87" s="280"/>
      <c r="M87" s="280"/>
      <c r="N87" s="280"/>
      <c r="O87" s="280"/>
      <c r="P87" s="280"/>
      <c r="Q87" s="280"/>
    </row>
    <row r="88" spans="1:17" ht="16" customHeight="1">
      <c r="A88" s="299">
        <f>Assumptions!G165+4</f>
        <v>9</v>
      </c>
      <c r="B88" s="280"/>
      <c r="C88" s="280"/>
      <c r="D88" s="280"/>
      <c r="E88" s="280"/>
      <c r="F88" s="302">
        <f>(F77+F56)/$B$50</f>
        <v>5.6192037974651079</v>
      </c>
      <c r="G88" s="302">
        <f>(G77+G56)/$B$50</f>
        <v>9.5586358386544141</v>
      </c>
      <c r="H88" s="302">
        <f>(H77+H56)/$B$50</f>
        <v>14.643162741267766</v>
      </c>
      <c r="I88" s="302">
        <f>(I77+I56)/$B$50</f>
        <v>20.776217083281502</v>
      </c>
      <c r="J88" s="302">
        <f>(J77+J56)/$B$50</f>
        <v>27.481708416831413</v>
      </c>
      <c r="K88" s="280"/>
      <c r="L88" s="280"/>
      <c r="M88" s="280"/>
      <c r="N88" s="280"/>
      <c r="O88" s="280"/>
      <c r="P88" s="280"/>
      <c r="Q88" s="280"/>
    </row>
    <row r="89" spans="1:17" ht="16" customHeight="1">
      <c r="A89" s="8"/>
      <c r="B89" s="280"/>
      <c r="C89" s="280"/>
      <c r="D89" s="280"/>
      <c r="E89" s="280"/>
      <c r="F89" s="280"/>
      <c r="G89" s="280"/>
      <c r="H89" s="280"/>
      <c r="I89" s="280"/>
      <c r="J89" s="280"/>
      <c r="K89" s="280"/>
      <c r="L89" s="280"/>
      <c r="M89" s="280"/>
      <c r="N89" s="280"/>
      <c r="O89" s="280"/>
      <c r="P89" s="280"/>
      <c r="Q89" s="280"/>
    </row>
    <row r="90" spans="1:17" ht="16" customHeight="1">
      <c r="A90" s="64" t="s">
        <v>663</v>
      </c>
      <c r="B90" s="142"/>
      <c r="C90" s="142"/>
      <c r="D90" s="142"/>
      <c r="E90" s="142"/>
      <c r="F90" s="142"/>
      <c r="G90" s="142"/>
      <c r="H90" s="142"/>
      <c r="I90" s="142"/>
      <c r="J90" s="142"/>
      <c r="K90" s="142"/>
      <c r="L90" s="142"/>
      <c r="M90" s="142"/>
      <c r="N90" s="142"/>
      <c r="O90" s="142"/>
      <c r="P90" s="142"/>
      <c r="Q90" s="142"/>
    </row>
    <row r="91" spans="1:17" ht="16" customHeight="1">
      <c r="A91" s="64" t="s">
        <v>661</v>
      </c>
      <c r="B91" s="142"/>
      <c r="C91" s="142"/>
      <c r="D91" s="142"/>
      <c r="E91" s="142"/>
      <c r="F91" s="113" t="s">
        <v>512</v>
      </c>
      <c r="G91" s="113" t="s">
        <v>2</v>
      </c>
      <c r="H91" s="113" t="s">
        <v>3</v>
      </c>
      <c r="I91" s="113" t="s">
        <v>4</v>
      </c>
      <c r="J91" s="113" t="s">
        <v>5</v>
      </c>
      <c r="K91" s="142"/>
      <c r="L91" s="142"/>
      <c r="M91" s="142"/>
      <c r="N91" s="142"/>
      <c r="O91" s="142"/>
      <c r="P91" s="142"/>
      <c r="Q91" s="142"/>
    </row>
    <row r="92" spans="1:17" ht="16" customHeight="1">
      <c r="A92" s="299">
        <f>Assumptions!G165-3</f>
        <v>2</v>
      </c>
      <c r="B92" s="280"/>
      <c r="C92" s="280"/>
      <c r="D92" s="280"/>
      <c r="E92" s="280"/>
      <c r="F92" s="304">
        <f t="shared" ref="F92:F99" si="1">IRR(L103:M103)</f>
        <v>-0.75905862586823269</v>
      </c>
      <c r="G92" s="304">
        <f t="shared" ref="G92:G99" si="2">IRR(L113:N113)</f>
        <v>7.5584411739917812E-2</v>
      </c>
      <c r="H92" s="304">
        <f t="shared" ref="H92:H99" si="3">IRR(L123:O123)</f>
        <v>0.39267884636483497</v>
      </c>
      <c r="I92" s="304">
        <f t="shared" ref="I92:I99" si="4">IRR(L133:P133)</f>
        <v>0.48157832826605507</v>
      </c>
      <c r="J92" s="304">
        <f t="shared" ref="J92:J99" si="5">IRR(L143:Q143)</f>
        <v>0.49674940285241709</v>
      </c>
      <c r="K92" s="280"/>
      <c r="L92" s="280"/>
      <c r="M92" s="280"/>
      <c r="N92" s="280"/>
      <c r="O92" s="280"/>
      <c r="P92" s="280"/>
      <c r="Q92" s="280"/>
    </row>
    <row r="93" spans="1:17" ht="16" customHeight="1">
      <c r="A93" s="299">
        <f>Assumptions!G165-2</f>
        <v>3</v>
      </c>
      <c r="B93" s="280"/>
      <c r="C93" s="280"/>
      <c r="D93" s="280"/>
      <c r="E93" s="280"/>
      <c r="F93" s="304">
        <f t="shared" si="1"/>
        <v>9.2645774651014534E-3</v>
      </c>
      <c r="G93" s="304">
        <f t="shared" si="2"/>
        <v>0.53814963182455</v>
      </c>
      <c r="H93" s="304">
        <f t="shared" si="3"/>
        <v>0.64277391417172547</v>
      </c>
      <c r="I93" s="304">
        <f t="shared" si="4"/>
        <v>0.63570229786293875</v>
      </c>
      <c r="J93" s="304">
        <f t="shared" si="5"/>
        <v>0.59988963061030542</v>
      </c>
      <c r="K93" s="280"/>
      <c r="L93" s="280"/>
      <c r="M93" s="280"/>
      <c r="N93" s="280"/>
      <c r="O93" s="280"/>
      <c r="P93" s="280"/>
      <c r="Q93" s="280"/>
    </row>
    <row r="94" spans="1:17" ht="16" customHeight="1">
      <c r="A94" s="299">
        <f>Assumptions!G165-1</f>
        <v>4</v>
      </c>
      <c r="B94" s="280"/>
      <c r="C94" s="280"/>
      <c r="D94" s="280"/>
      <c r="E94" s="280"/>
      <c r="F94" s="304">
        <f t="shared" si="1"/>
        <v>0.77758778079843549</v>
      </c>
      <c r="G94" s="304">
        <f t="shared" si="2"/>
        <v>0.89020605075207548</v>
      </c>
      <c r="H94" s="304">
        <f t="shared" si="3"/>
        <v>0.83331816428031091</v>
      </c>
      <c r="I94" s="304">
        <f t="shared" si="4"/>
        <v>0.75526938094462648</v>
      </c>
      <c r="J94" s="304">
        <f t="shared" si="5"/>
        <v>0.68151586259116947</v>
      </c>
      <c r="K94" s="280"/>
      <c r="L94" s="280"/>
      <c r="M94" s="280"/>
      <c r="N94" s="280"/>
      <c r="O94" s="280"/>
      <c r="P94" s="280"/>
      <c r="Q94" s="280"/>
    </row>
    <row r="95" spans="1:17" ht="16" customHeight="1">
      <c r="A95" s="301">
        <f>Assumptions!G165</f>
        <v>5</v>
      </c>
      <c r="B95" s="280"/>
      <c r="C95" s="280"/>
      <c r="D95" s="280"/>
      <c r="E95" s="280"/>
      <c r="F95" s="305">
        <f t="shared" si="1"/>
        <v>1.5459109841317695</v>
      </c>
      <c r="G95" s="305">
        <f t="shared" si="2"/>
        <v>1.1860493713019089</v>
      </c>
      <c r="H95" s="305">
        <f t="shared" si="3"/>
        <v>0.99064237937101951</v>
      </c>
      <c r="I95" s="305">
        <f t="shared" si="4"/>
        <v>0.85428632609493693</v>
      </c>
      <c r="J95" s="305">
        <f t="shared" si="5"/>
        <v>0.74968226303051089</v>
      </c>
      <c r="K95" s="280"/>
      <c r="L95" s="280"/>
      <c r="M95" s="280"/>
      <c r="N95" s="280"/>
      <c r="O95" s="280"/>
      <c r="P95" s="280"/>
      <c r="Q95" s="280"/>
    </row>
    <row r="96" spans="1:17" ht="16" customHeight="1">
      <c r="A96" s="299">
        <f>Assumptions!G165+1</f>
        <v>6</v>
      </c>
      <c r="B96" s="280"/>
      <c r="C96" s="280"/>
      <c r="D96" s="280"/>
      <c r="E96" s="280"/>
      <c r="F96" s="304">
        <f t="shared" si="1"/>
        <v>2.3142341874651033</v>
      </c>
      <c r="G96" s="304">
        <f t="shared" si="2"/>
        <v>1.4462387639526835</v>
      </c>
      <c r="H96" s="304">
        <f t="shared" si="3"/>
        <v>1.1262834057277158</v>
      </c>
      <c r="I96" s="304">
        <f t="shared" si="4"/>
        <v>0.93948770184794506</v>
      </c>
      <c r="J96" s="304">
        <f t="shared" si="5"/>
        <v>0.80854674279174432</v>
      </c>
      <c r="K96" s="280"/>
      <c r="L96" s="280"/>
      <c r="M96" s="280"/>
      <c r="N96" s="280"/>
      <c r="O96" s="280"/>
      <c r="P96" s="280"/>
      <c r="Q96" s="280"/>
    </row>
    <row r="97" spans="1:17" ht="16" customHeight="1">
      <c r="A97" s="299">
        <f>Assumptions!G165+2</f>
        <v>7</v>
      </c>
      <c r="B97" s="280"/>
      <c r="C97" s="280"/>
      <c r="D97" s="280"/>
      <c r="E97" s="280"/>
      <c r="F97" s="304">
        <f t="shared" si="1"/>
        <v>3.0825573907984385</v>
      </c>
      <c r="G97" s="304">
        <f t="shared" si="2"/>
        <v>1.6812103639629656</v>
      </c>
      <c r="H97" s="304">
        <f t="shared" si="3"/>
        <v>1.2464549367160922</v>
      </c>
      <c r="I97" s="304">
        <f t="shared" si="4"/>
        <v>1.0146784955854025</v>
      </c>
      <c r="J97" s="304">
        <f t="shared" si="5"/>
        <v>0.86055732578330746</v>
      </c>
      <c r="K97" s="280"/>
      <c r="L97" s="280"/>
      <c r="M97" s="280"/>
      <c r="N97" s="280"/>
      <c r="O97" s="280"/>
      <c r="P97" s="280"/>
      <c r="Q97" s="280"/>
    </row>
    <row r="98" spans="1:17" ht="16" customHeight="1">
      <c r="A98" s="299">
        <f>Assumptions!G165+3</f>
        <v>8</v>
      </c>
      <c r="B98" s="280"/>
      <c r="C98" s="280"/>
      <c r="D98" s="280"/>
      <c r="E98" s="280"/>
      <c r="F98" s="304">
        <f t="shared" si="1"/>
        <v>3.8508805941317714</v>
      </c>
      <c r="G98" s="304">
        <f t="shared" si="2"/>
        <v>1.8971263039236064</v>
      </c>
      <c r="H98" s="304">
        <f t="shared" si="3"/>
        <v>1.3549335151205701</v>
      </c>
      <c r="I98" s="304">
        <f t="shared" si="4"/>
        <v>1.0822376736541077</v>
      </c>
      <c r="J98" s="304">
        <f t="shared" si="5"/>
        <v>0.90728582036248873</v>
      </c>
      <c r="K98" s="280"/>
      <c r="L98" s="280"/>
      <c r="M98" s="280"/>
      <c r="N98" s="280"/>
      <c r="O98" s="280"/>
      <c r="P98" s="280"/>
      <c r="Q98" s="280"/>
    </row>
    <row r="99" spans="1:17" ht="16" customHeight="1">
      <c r="A99" s="299">
        <f>Assumptions!G165+4</f>
        <v>9</v>
      </c>
      <c r="B99" s="280"/>
      <c r="C99" s="280"/>
      <c r="D99" s="280"/>
      <c r="E99" s="280"/>
      <c r="F99" s="304">
        <f t="shared" si="1"/>
        <v>4.6192037974651088</v>
      </c>
      <c r="G99" s="304">
        <f t="shared" si="2"/>
        <v>2.0979854111776155</v>
      </c>
      <c r="H99" s="304">
        <f t="shared" si="3"/>
        <v>1.4542065119999732</v>
      </c>
      <c r="I99" s="304">
        <f t="shared" si="4"/>
        <v>1.1437606125127764</v>
      </c>
      <c r="J99" s="304">
        <f t="shared" si="5"/>
        <v>0.94980579430681678</v>
      </c>
      <c r="K99" s="280"/>
      <c r="L99" s="280"/>
      <c r="M99" s="280"/>
      <c r="N99" s="280"/>
      <c r="O99" s="280"/>
      <c r="P99" s="280"/>
      <c r="Q99" s="280"/>
    </row>
    <row r="100" spans="1:17" ht="16" customHeight="1">
      <c r="A100" s="8"/>
      <c r="B100" s="280"/>
      <c r="C100" s="280"/>
      <c r="D100" s="280"/>
      <c r="E100" s="280"/>
      <c r="F100" s="280"/>
      <c r="G100" s="280"/>
      <c r="H100" s="280"/>
      <c r="I100" s="280"/>
      <c r="J100" s="280"/>
      <c r="K100" s="280"/>
      <c r="L100" s="280"/>
      <c r="M100" s="280"/>
      <c r="N100" s="280"/>
      <c r="O100" s="280"/>
      <c r="P100" s="280"/>
      <c r="Q100" s="280"/>
    </row>
    <row r="101" spans="1:17" ht="16" customHeight="1">
      <c r="A101" s="8"/>
      <c r="B101" s="280"/>
      <c r="C101" s="280"/>
      <c r="D101" s="280"/>
      <c r="E101" s="280"/>
      <c r="F101" s="280"/>
      <c r="G101" s="280"/>
      <c r="H101" s="280"/>
      <c r="I101" s="280"/>
      <c r="J101" s="280"/>
      <c r="K101" s="280"/>
      <c r="L101" s="280"/>
      <c r="M101" s="280"/>
      <c r="N101" s="280"/>
      <c r="O101" s="280"/>
      <c r="P101" s="280"/>
      <c r="Q101" s="280"/>
    </row>
    <row r="102" spans="1:17" ht="16" customHeight="1">
      <c r="A102" s="8"/>
      <c r="B102" s="280"/>
      <c r="C102" s="280"/>
      <c r="D102" s="280"/>
      <c r="E102" s="280"/>
      <c r="F102" s="280"/>
      <c r="G102" s="280"/>
      <c r="H102" s="280"/>
      <c r="I102" s="280"/>
      <c r="J102" s="280"/>
      <c r="K102" s="280"/>
      <c r="L102" s="112" t="s">
        <v>664</v>
      </c>
      <c r="M102" s="280"/>
      <c r="N102" s="280"/>
      <c r="O102" s="280"/>
      <c r="P102" s="280"/>
      <c r="Q102" s="280"/>
    </row>
    <row r="103" spans="1:17" ht="16" customHeight="1">
      <c r="A103" s="8"/>
      <c r="B103" s="280"/>
      <c r="C103" s="280"/>
      <c r="D103" s="280"/>
      <c r="E103" s="280"/>
      <c r="F103" s="280"/>
      <c r="G103" s="280"/>
      <c r="H103" s="280"/>
      <c r="I103" s="280"/>
      <c r="J103" s="280"/>
      <c r="K103" s="280"/>
      <c r="L103" s="306">
        <f t="shared" ref="L103:L110" si="6">-$B$50</f>
        <v>-1500</v>
      </c>
      <c r="M103" s="306">
        <f>F55+F70</f>
        <v>361.41206119765093</v>
      </c>
      <c r="N103" s="280"/>
      <c r="O103" s="280"/>
      <c r="P103" s="280"/>
      <c r="Q103" s="280"/>
    </row>
    <row r="104" spans="1:17" ht="16" customHeight="1">
      <c r="A104" s="8"/>
      <c r="B104" s="280"/>
      <c r="C104" s="280"/>
      <c r="D104" s="280"/>
      <c r="E104" s="280"/>
      <c r="F104" s="280"/>
      <c r="G104" s="280"/>
      <c r="H104" s="280"/>
      <c r="I104" s="280"/>
      <c r="J104" s="280"/>
      <c r="K104" s="280"/>
      <c r="L104" s="306">
        <f t="shared" si="6"/>
        <v>-1500</v>
      </c>
      <c r="M104" s="306">
        <f>F55+F71</f>
        <v>1513.8968661976523</v>
      </c>
      <c r="N104" s="280"/>
      <c r="O104" s="280"/>
      <c r="P104" s="280"/>
      <c r="Q104" s="280"/>
    </row>
    <row r="105" spans="1:17" ht="16" customHeight="1">
      <c r="A105" s="8"/>
      <c r="B105" s="280"/>
      <c r="C105" s="280"/>
      <c r="D105" s="280"/>
      <c r="E105" s="280"/>
      <c r="F105" s="280"/>
      <c r="G105" s="280"/>
      <c r="H105" s="280"/>
      <c r="I105" s="280"/>
      <c r="J105" s="280"/>
      <c r="K105" s="280"/>
      <c r="L105" s="306">
        <f t="shared" si="6"/>
        <v>-1500</v>
      </c>
      <c r="M105" s="306">
        <f>F55+F72</f>
        <v>2666.3816711976533</v>
      </c>
      <c r="N105" s="280"/>
      <c r="O105" s="280"/>
      <c r="P105" s="280"/>
      <c r="Q105" s="280"/>
    </row>
    <row r="106" spans="1:17" ht="16" customHeight="1">
      <c r="A106" s="8"/>
      <c r="B106" s="280"/>
      <c r="C106" s="280"/>
      <c r="D106" s="280"/>
      <c r="E106" s="280"/>
      <c r="F106" s="280"/>
      <c r="G106" s="280"/>
      <c r="H106" s="280"/>
      <c r="I106" s="280"/>
      <c r="J106" s="280"/>
      <c r="K106" s="280"/>
      <c r="L106" s="306">
        <f t="shared" si="6"/>
        <v>-1500</v>
      </c>
      <c r="M106" s="306">
        <f>F55+F73</f>
        <v>3818.8664761976543</v>
      </c>
      <c r="N106" s="280"/>
      <c r="O106" s="280"/>
      <c r="P106" s="280"/>
      <c r="Q106" s="280"/>
    </row>
    <row r="107" spans="1:17" ht="16" customHeight="1">
      <c r="A107" s="8"/>
      <c r="B107" s="280"/>
      <c r="C107" s="280"/>
      <c r="D107" s="280"/>
      <c r="E107" s="280"/>
      <c r="F107" s="280"/>
      <c r="G107" s="280"/>
      <c r="H107" s="280"/>
      <c r="I107" s="280"/>
      <c r="J107" s="280"/>
      <c r="K107" s="280"/>
      <c r="L107" s="306">
        <f t="shared" si="6"/>
        <v>-1500</v>
      </c>
      <c r="M107" s="306">
        <f>F55+F74</f>
        <v>4971.3512811976561</v>
      </c>
      <c r="N107" s="280"/>
      <c r="O107" s="280"/>
      <c r="P107" s="280"/>
      <c r="Q107" s="280"/>
    </row>
    <row r="108" spans="1:17" ht="16" customHeight="1">
      <c r="A108" s="8"/>
      <c r="B108" s="280"/>
      <c r="C108" s="280"/>
      <c r="D108" s="280"/>
      <c r="E108" s="280"/>
      <c r="F108" s="280"/>
      <c r="G108" s="280"/>
      <c r="H108" s="280"/>
      <c r="I108" s="280"/>
      <c r="J108" s="280"/>
      <c r="K108" s="280"/>
      <c r="L108" s="306">
        <f t="shared" si="6"/>
        <v>-1500</v>
      </c>
      <c r="M108" s="306">
        <f>F55+F75</f>
        <v>6123.8360861976571</v>
      </c>
      <c r="N108" s="280"/>
      <c r="O108" s="280"/>
      <c r="P108" s="280"/>
      <c r="Q108" s="280"/>
    </row>
    <row r="109" spans="1:17" ht="16" customHeight="1">
      <c r="A109" s="8"/>
      <c r="B109" s="280"/>
      <c r="C109" s="280"/>
      <c r="D109" s="280"/>
      <c r="E109" s="280"/>
      <c r="F109" s="280"/>
      <c r="G109" s="280"/>
      <c r="H109" s="280"/>
      <c r="I109" s="280"/>
      <c r="J109" s="280"/>
      <c r="K109" s="280"/>
      <c r="L109" s="306">
        <f t="shared" si="6"/>
        <v>-1500</v>
      </c>
      <c r="M109" s="306">
        <f>F55+F76</f>
        <v>7276.3208911976581</v>
      </c>
      <c r="N109" s="280"/>
      <c r="O109" s="280"/>
      <c r="P109" s="280"/>
      <c r="Q109" s="280"/>
    </row>
    <row r="110" spans="1:17" ht="16" customHeight="1">
      <c r="A110" s="8"/>
      <c r="B110" s="280"/>
      <c r="C110" s="280"/>
      <c r="D110" s="280"/>
      <c r="E110" s="280"/>
      <c r="F110" s="280"/>
      <c r="G110" s="280"/>
      <c r="H110" s="280"/>
      <c r="I110" s="280"/>
      <c r="J110" s="280"/>
      <c r="K110" s="280"/>
      <c r="L110" s="306">
        <f t="shared" si="6"/>
        <v>-1500</v>
      </c>
      <c r="M110" s="306">
        <f>F55+F77</f>
        <v>8428.8056961976617</v>
      </c>
      <c r="N110" s="280"/>
      <c r="O110" s="280"/>
      <c r="P110" s="280"/>
      <c r="Q110" s="280"/>
    </row>
    <row r="111" spans="1:17" ht="16" customHeight="1">
      <c r="A111" s="8"/>
      <c r="B111" s="280"/>
      <c r="C111" s="280"/>
      <c r="D111" s="280"/>
      <c r="E111" s="280"/>
      <c r="F111" s="280"/>
      <c r="G111" s="280"/>
      <c r="H111" s="280"/>
      <c r="I111" s="280"/>
      <c r="J111" s="280"/>
      <c r="K111" s="280"/>
      <c r="L111" s="280"/>
      <c r="M111" s="280"/>
      <c r="N111" s="280"/>
      <c r="O111" s="280"/>
      <c r="P111" s="280"/>
      <c r="Q111" s="280"/>
    </row>
    <row r="112" spans="1:17" ht="16" customHeight="1">
      <c r="A112" s="8"/>
      <c r="B112" s="280"/>
      <c r="C112" s="280"/>
      <c r="D112" s="280"/>
      <c r="E112" s="280"/>
      <c r="F112" s="280"/>
      <c r="G112" s="280"/>
      <c r="H112" s="280"/>
      <c r="I112" s="280"/>
      <c r="J112" s="280"/>
      <c r="K112" s="280"/>
      <c r="L112" s="112" t="s">
        <v>665</v>
      </c>
      <c r="M112" s="280"/>
      <c r="N112" s="280"/>
      <c r="O112" s="280"/>
      <c r="P112" s="280"/>
      <c r="Q112" s="280"/>
    </row>
    <row r="113" spans="1:17" ht="16" customHeight="1">
      <c r="A113" s="8"/>
      <c r="B113" s="280"/>
      <c r="C113" s="280"/>
      <c r="D113" s="280"/>
      <c r="E113" s="280"/>
      <c r="F113" s="280"/>
      <c r="G113" s="280"/>
      <c r="H113" s="280"/>
      <c r="I113" s="280"/>
      <c r="J113" s="280"/>
      <c r="K113" s="280"/>
      <c r="L113" s="306">
        <f t="shared" ref="L113:L120" si="7">-$B$50</f>
        <v>-1500</v>
      </c>
      <c r="M113" s="306">
        <f>F55</f>
        <v>27.796501115636623</v>
      </c>
      <c r="N113" s="306">
        <f>G55+G70</f>
        <v>1705.4252568659699</v>
      </c>
      <c r="O113" s="280"/>
      <c r="P113" s="280"/>
      <c r="Q113" s="280"/>
    </row>
    <row r="114" spans="1:17" ht="16" customHeight="1">
      <c r="A114" s="8"/>
      <c r="B114" s="280"/>
      <c r="C114" s="280"/>
      <c r="D114" s="280"/>
      <c r="E114" s="280"/>
      <c r="F114" s="280"/>
      <c r="G114" s="280"/>
      <c r="H114" s="280"/>
      <c r="I114" s="280"/>
      <c r="J114" s="280"/>
      <c r="K114" s="280"/>
      <c r="L114" s="306">
        <f t="shared" si="7"/>
        <v>-1500</v>
      </c>
      <c r="M114" s="306">
        <f>F55</f>
        <v>27.796501115636623</v>
      </c>
      <c r="N114" s="306">
        <f>G55+G71</f>
        <v>3506.1012568659726</v>
      </c>
      <c r="O114" s="280"/>
      <c r="P114" s="280"/>
      <c r="Q114" s="280"/>
    </row>
    <row r="115" spans="1:17" ht="16" customHeight="1">
      <c r="A115" s="8"/>
      <c r="B115" s="280"/>
      <c r="C115" s="280"/>
      <c r="D115" s="280"/>
      <c r="E115" s="280"/>
      <c r="F115" s="280"/>
      <c r="G115" s="280"/>
      <c r="H115" s="280"/>
      <c r="I115" s="280"/>
      <c r="J115" s="280"/>
      <c r="K115" s="280"/>
      <c r="L115" s="306">
        <f t="shared" si="7"/>
        <v>-1500</v>
      </c>
      <c r="M115" s="306">
        <f>F55</f>
        <v>27.796501115636623</v>
      </c>
      <c r="N115" s="306">
        <f>G55+G72</f>
        <v>5306.7772568659748</v>
      </c>
      <c r="O115" s="280"/>
      <c r="P115" s="280"/>
      <c r="Q115" s="280"/>
    </row>
    <row r="116" spans="1:17" ht="16" customHeight="1">
      <c r="A116" s="8"/>
      <c r="B116" s="280"/>
      <c r="C116" s="280"/>
      <c r="D116" s="280"/>
      <c r="E116" s="280"/>
      <c r="F116" s="280"/>
      <c r="G116" s="280"/>
      <c r="H116" s="280"/>
      <c r="I116" s="280"/>
      <c r="J116" s="280"/>
      <c r="K116" s="280"/>
      <c r="L116" s="306">
        <f t="shared" si="7"/>
        <v>-1500</v>
      </c>
      <c r="M116" s="306">
        <f>F55</f>
        <v>27.796501115636623</v>
      </c>
      <c r="N116" s="306">
        <f>G55+G73</f>
        <v>7107.4532568659779</v>
      </c>
      <c r="O116" s="280"/>
      <c r="P116" s="280"/>
      <c r="Q116" s="280"/>
    </row>
    <row r="117" spans="1:17" ht="16" customHeight="1">
      <c r="A117" s="8"/>
      <c r="B117" s="280"/>
      <c r="C117" s="280"/>
      <c r="D117" s="280"/>
      <c r="E117" s="280"/>
      <c r="F117" s="280"/>
      <c r="G117" s="280"/>
      <c r="H117" s="280"/>
      <c r="I117" s="280"/>
      <c r="J117" s="280"/>
      <c r="K117" s="280"/>
      <c r="L117" s="306">
        <f t="shared" si="7"/>
        <v>-1500</v>
      </c>
      <c r="M117" s="306">
        <f>F55</f>
        <v>27.796501115636623</v>
      </c>
      <c r="N117" s="306">
        <f>G55+G74</f>
        <v>8908.1292568659774</v>
      </c>
      <c r="O117" s="280"/>
      <c r="P117" s="280"/>
      <c r="Q117" s="280"/>
    </row>
    <row r="118" spans="1:17" ht="16" customHeight="1">
      <c r="A118" s="8"/>
      <c r="B118" s="280"/>
      <c r="C118" s="280"/>
      <c r="D118" s="280"/>
      <c r="E118" s="280"/>
      <c r="F118" s="280"/>
      <c r="G118" s="280"/>
      <c r="H118" s="280"/>
      <c r="I118" s="280"/>
      <c r="J118" s="280"/>
      <c r="K118" s="280"/>
      <c r="L118" s="306">
        <f t="shared" si="7"/>
        <v>-1500</v>
      </c>
      <c r="M118" s="306">
        <f>F55</f>
        <v>27.796501115636623</v>
      </c>
      <c r="N118" s="306">
        <f>G55+G75</f>
        <v>10708.805256865979</v>
      </c>
      <c r="O118" s="280"/>
      <c r="P118" s="280"/>
      <c r="Q118" s="280"/>
    </row>
    <row r="119" spans="1:17" ht="16" customHeight="1">
      <c r="A119" s="8"/>
      <c r="B119" s="280"/>
      <c r="C119" s="280"/>
      <c r="D119" s="280"/>
      <c r="E119" s="280"/>
      <c r="F119" s="280"/>
      <c r="G119" s="280"/>
      <c r="H119" s="280"/>
      <c r="I119" s="280"/>
      <c r="J119" s="280"/>
      <c r="K119" s="280"/>
      <c r="L119" s="306">
        <f t="shared" si="7"/>
        <v>-1500</v>
      </c>
      <c r="M119" s="306">
        <f>F55</f>
        <v>27.796501115636623</v>
      </c>
      <c r="N119" s="306">
        <f>G55+G76</f>
        <v>12509.481256865982</v>
      </c>
      <c r="O119" s="280"/>
      <c r="P119" s="280"/>
      <c r="Q119" s="280"/>
    </row>
    <row r="120" spans="1:17" ht="16" customHeight="1">
      <c r="A120" s="8"/>
      <c r="B120" s="280"/>
      <c r="C120" s="280"/>
      <c r="D120" s="280"/>
      <c r="E120" s="280"/>
      <c r="F120" s="280"/>
      <c r="G120" s="280"/>
      <c r="H120" s="280"/>
      <c r="I120" s="280"/>
      <c r="J120" s="280"/>
      <c r="K120" s="280"/>
      <c r="L120" s="306">
        <f t="shared" si="7"/>
        <v>-1500</v>
      </c>
      <c r="M120" s="306">
        <f>F55</f>
        <v>27.796501115636623</v>
      </c>
      <c r="N120" s="306">
        <f>G55+G77</f>
        <v>14310.157256865985</v>
      </c>
      <c r="O120" s="280"/>
      <c r="P120" s="280"/>
      <c r="Q120" s="280"/>
    </row>
    <row r="121" spans="1:17" ht="16" customHeight="1">
      <c r="A121" s="8"/>
      <c r="B121" s="280"/>
      <c r="C121" s="280"/>
      <c r="D121" s="280"/>
      <c r="E121" s="280"/>
      <c r="F121" s="280"/>
      <c r="G121" s="280"/>
      <c r="H121" s="280"/>
      <c r="I121" s="280"/>
      <c r="J121" s="280"/>
      <c r="K121" s="280"/>
      <c r="L121" s="280"/>
      <c r="M121" s="280"/>
      <c r="N121" s="280"/>
      <c r="O121" s="280"/>
      <c r="P121" s="280"/>
      <c r="Q121" s="280"/>
    </row>
    <row r="122" spans="1:17" ht="16" customHeight="1">
      <c r="A122" s="8"/>
      <c r="B122" s="280"/>
      <c r="C122" s="280"/>
      <c r="D122" s="280"/>
      <c r="E122" s="280"/>
      <c r="F122" s="280"/>
      <c r="G122" s="280"/>
      <c r="H122" s="280"/>
      <c r="I122" s="280"/>
      <c r="J122" s="280"/>
      <c r="K122" s="280"/>
      <c r="L122" s="112" t="s">
        <v>666</v>
      </c>
      <c r="M122" s="280"/>
      <c r="N122" s="280"/>
      <c r="O122" s="280"/>
      <c r="P122" s="280"/>
      <c r="Q122" s="280"/>
    </row>
    <row r="123" spans="1:17" ht="16" customHeight="1">
      <c r="A123" s="8"/>
      <c r="B123" s="280"/>
      <c r="C123" s="280"/>
      <c r="D123" s="280"/>
      <c r="E123" s="280"/>
      <c r="F123" s="280"/>
      <c r="G123" s="280"/>
      <c r="H123" s="280"/>
      <c r="I123" s="280"/>
      <c r="J123" s="280"/>
      <c r="K123" s="280"/>
      <c r="L123" s="306">
        <f t="shared" ref="L123:L130" si="8">-$B$50</f>
        <v>-1500</v>
      </c>
      <c r="M123" s="306">
        <f>F55</f>
        <v>27.796501115636623</v>
      </c>
      <c r="N123" s="306">
        <f>G55</f>
        <v>47.198457610555877</v>
      </c>
      <c r="O123" s="306">
        <f>H55+H70</f>
        <v>3932.1193931754656</v>
      </c>
      <c r="P123" s="280"/>
      <c r="Q123" s="280"/>
    </row>
    <row r="124" spans="1:17" ht="16" customHeight="1">
      <c r="A124" s="8"/>
      <c r="B124" s="280"/>
      <c r="C124" s="280"/>
      <c r="D124" s="280"/>
      <c r="E124" s="280"/>
      <c r="F124" s="280"/>
      <c r="G124" s="280"/>
      <c r="H124" s="280"/>
      <c r="I124" s="280"/>
      <c r="J124" s="280"/>
      <c r="K124" s="280"/>
      <c r="L124" s="306">
        <f t="shared" si="8"/>
        <v>-1500</v>
      </c>
      <c r="M124" s="306">
        <f>F55</f>
        <v>27.796501115636623</v>
      </c>
      <c r="N124" s="306">
        <f>G55</f>
        <v>47.198457610555877</v>
      </c>
      <c r="O124" s="306">
        <f>H55+H71</f>
        <v>6497.4950731754652</v>
      </c>
      <c r="P124" s="280"/>
      <c r="Q124" s="280"/>
    </row>
    <row r="125" spans="1:17" ht="16" customHeight="1">
      <c r="A125" s="8"/>
      <c r="B125" s="280"/>
      <c r="C125" s="280"/>
      <c r="D125" s="280"/>
      <c r="E125" s="280"/>
      <c r="F125" s="280"/>
      <c r="G125" s="280"/>
      <c r="H125" s="280"/>
      <c r="I125" s="280"/>
      <c r="J125" s="280"/>
      <c r="K125" s="280"/>
      <c r="L125" s="306">
        <f t="shared" si="8"/>
        <v>-1500</v>
      </c>
      <c r="M125" s="306">
        <f>F55</f>
        <v>27.796501115636623</v>
      </c>
      <c r="N125" s="306">
        <f>G55</f>
        <v>47.198457610555877</v>
      </c>
      <c r="O125" s="306">
        <f>H55+H72</f>
        <v>9062.8707531754644</v>
      </c>
      <c r="P125" s="280"/>
      <c r="Q125" s="280"/>
    </row>
    <row r="126" spans="1:17" ht="16" customHeight="1">
      <c r="A126" s="8"/>
      <c r="B126" s="280"/>
      <c r="C126" s="280"/>
      <c r="D126" s="280"/>
      <c r="E126" s="280"/>
      <c r="F126" s="280"/>
      <c r="G126" s="280"/>
      <c r="H126" s="280"/>
      <c r="I126" s="280"/>
      <c r="J126" s="280"/>
      <c r="K126" s="280"/>
      <c r="L126" s="306">
        <f t="shared" si="8"/>
        <v>-1500</v>
      </c>
      <c r="M126" s="306">
        <f>F55</f>
        <v>27.796501115636623</v>
      </c>
      <c r="N126" s="306">
        <f>G55</f>
        <v>47.198457610555877</v>
      </c>
      <c r="O126" s="306">
        <f>H55+H73</f>
        <v>11628.246433175464</v>
      </c>
      <c r="P126" s="280"/>
      <c r="Q126" s="280"/>
    </row>
    <row r="127" spans="1:17" ht="16" customHeight="1">
      <c r="A127" s="8"/>
      <c r="B127" s="280"/>
      <c r="C127" s="280"/>
      <c r="D127" s="280"/>
      <c r="E127" s="280"/>
      <c r="F127" s="280"/>
      <c r="G127" s="280"/>
      <c r="H127" s="280"/>
      <c r="I127" s="280"/>
      <c r="J127" s="280"/>
      <c r="K127" s="280"/>
      <c r="L127" s="306">
        <f t="shared" si="8"/>
        <v>-1500</v>
      </c>
      <c r="M127" s="306">
        <f>F55</f>
        <v>27.796501115636623</v>
      </c>
      <c r="N127" s="306">
        <f>G55</f>
        <v>47.198457610555877</v>
      </c>
      <c r="O127" s="306">
        <f>H55+H74</f>
        <v>14193.622113175463</v>
      </c>
      <c r="P127" s="280"/>
      <c r="Q127" s="280"/>
    </row>
    <row r="128" spans="1:17" ht="16" customHeight="1">
      <c r="A128" s="8"/>
      <c r="B128" s="280"/>
      <c r="C128" s="280"/>
      <c r="D128" s="280"/>
      <c r="E128" s="280"/>
      <c r="F128" s="280"/>
      <c r="G128" s="280"/>
      <c r="H128" s="280"/>
      <c r="I128" s="280"/>
      <c r="J128" s="280"/>
      <c r="K128" s="280"/>
      <c r="L128" s="306">
        <f t="shared" si="8"/>
        <v>-1500</v>
      </c>
      <c r="M128" s="306">
        <f>F55</f>
        <v>27.796501115636623</v>
      </c>
      <c r="N128" s="306">
        <f>G55</f>
        <v>47.198457610555877</v>
      </c>
      <c r="O128" s="306">
        <f>H55+H75</f>
        <v>16758.997793175462</v>
      </c>
      <c r="P128" s="280"/>
      <c r="Q128" s="280"/>
    </row>
    <row r="129" spans="1:17" ht="16" customHeight="1">
      <c r="A129" s="8"/>
      <c r="B129" s="280"/>
      <c r="C129" s="280"/>
      <c r="D129" s="280"/>
      <c r="E129" s="280"/>
      <c r="F129" s="280"/>
      <c r="G129" s="280"/>
      <c r="H129" s="280"/>
      <c r="I129" s="280"/>
      <c r="J129" s="280"/>
      <c r="K129" s="280"/>
      <c r="L129" s="306">
        <f t="shared" si="8"/>
        <v>-1500</v>
      </c>
      <c r="M129" s="306">
        <f>F55</f>
        <v>27.796501115636623</v>
      </c>
      <c r="N129" s="306">
        <f>G55</f>
        <v>47.198457610555877</v>
      </c>
      <c r="O129" s="306">
        <f>H55+H76</f>
        <v>19324.373473175459</v>
      </c>
      <c r="P129" s="280"/>
      <c r="Q129" s="280"/>
    </row>
    <row r="130" spans="1:17" ht="16" customHeight="1">
      <c r="A130" s="8"/>
      <c r="B130" s="280"/>
      <c r="C130" s="280"/>
      <c r="D130" s="280"/>
      <c r="E130" s="280"/>
      <c r="F130" s="280"/>
      <c r="G130" s="280"/>
      <c r="H130" s="280"/>
      <c r="I130" s="280"/>
      <c r="J130" s="280"/>
      <c r="K130" s="280"/>
      <c r="L130" s="306">
        <f t="shared" si="8"/>
        <v>-1500</v>
      </c>
      <c r="M130" s="306">
        <f>F55</f>
        <v>27.796501115636623</v>
      </c>
      <c r="N130" s="306">
        <f>G55</f>
        <v>47.198457610555877</v>
      </c>
      <c r="O130" s="306">
        <f>H55+H77</f>
        <v>21889.749153175457</v>
      </c>
      <c r="P130" s="280"/>
      <c r="Q130" s="280"/>
    </row>
    <row r="131" spans="1:17" ht="16" customHeight="1">
      <c r="A131" s="8"/>
      <c r="B131" s="280"/>
      <c r="C131" s="280"/>
      <c r="D131" s="280"/>
      <c r="E131" s="280"/>
      <c r="F131" s="280"/>
      <c r="G131" s="280"/>
      <c r="H131" s="280"/>
      <c r="I131" s="280"/>
      <c r="J131" s="280"/>
      <c r="K131" s="280"/>
      <c r="L131" s="280"/>
      <c r="M131" s="280"/>
      <c r="N131" s="280"/>
      <c r="O131" s="280"/>
      <c r="P131" s="280"/>
      <c r="Q131" s="280"/>
    </row>
    <row r="132" spans="1:17" ht="16" customHeight="1">
      <c r="A132" s="8"/>
      <c r="B132" s="280"/>
      <c r="C132" s="280"/>
      <c r="D132" s="280"/>
      <c r="E132" s="280"/>
      <c r="F132" s="280"/>
      <c r="G132" s="280"/>
      <c r="H132" s="280"/>
      <c r="I132" s="280"/>
      <c r="J132" s="280"/>
      <c r="K132" s="280"/>
      <c r="L132" s="112" t="s">
        <v>667</v>
      </c>
      <c r="M132" s="280"/>
      <c r="N132" s="280"/>
      <c r="O132" s="280"/>
      <c r="P132" s="280"/>
      <c r="Q132" s="280"/>
    </row>
    <row r="133" spans="1:17" ht="16" customHeight="1">
      <c r="A133" s="8"/>
      <c r="B133" s="280"/>
      <c r="C133" s="280"/>
      <c r="D133" s="280"/>
      <c r="E133" s="280"/>
      <c r="F133" s="280"/>
      <c r="G133" s="280"/>
      <c r="H133" s="280"/>
      <c r="I133" s="280"/>
      <c r="J133" s="280"/>
      <c r="K133" s="280"/>
      <c r="L133" s="306">
        <f t="shared" ref="L133:L140" si="9">-$B$50</f>
        <v>-1500</v>
      </c>
      <c r="M133" s="306">
        <f>F55</f>
        <v>27.796501115636623</v>
      </c>
      <c r="N133" s="306">
        <f>G55</f>
        <v>47.198457610555877</v>
      </c>
      <c r="O133" s="306">
        <f>H55</f>
        <v>88.064391052805149</v>
      </c>
      <c r="P133" s="306">
        <f>I55+I70</f>
        <v>6903.0495647432499</v>
      </c>
      <c r="Q133" s="280"/>
    </row>
    <row r="134" spans="1:17" ht="16" customHeight="1">
      <c r="A134" s="8"/>
      <c r="B134" s="280"/>
      <c r="C134" s="280"/>
      <c r="D134" s="280"/>
      <c r="E134" s="280"/>
      <c r="F134" s="280"/>
      <c r="G134" s="280"/>
      <c r="H134" s="280"/>
      <c r="I134" s="280"/>
      <c r="J134" s="280"/>
      <c r="K134" s="280"/>
      <c r="L134" s="306">
        <f t="shared" si="9"/>
        <v>-1500</v>
      </c>
      <c r="M134" s="306">
        <f>F55</f>
        <v>27.796501115636623</v>
      </c>
      <c r="N134" s="306">
        <f>G55</f>
        <v>47.198457610555877</v>
      </c>
      <c r="O134" s="306">
        <f>H55</f>
        <v>88.064391052805149</v>
      </c>
      <c r="P134" s="306">
        <f>I55+I71</f>
        <v>10345.65195194325</v>
      </c>
      <c r="Q134" s="280"/>
    </row>
    <row r="135" spans="1:17" ht="16" customHeight="1">
      <c r="A135" s="8"/>
      <c r="B135" s="280"/>
      <c r="C135" s="280"/>
      <c r="D135" s="280"/>
      <c r="E135" s="280"/>
      <c r="F135" s="280"/>
      <c r="G135" s="280"/>
      <c r="H135" s="280"/>
      <c r="I135" s="280"/>
      <c r="J135" s="280"/>
      <c r="K135" s="280"/>
      <c r="L135" s="306">
        <f t="shared" si="9"/>
        <v>-1500</v>
      </c>
      <c r="M135" s="306">
        <f>F55</f>
        <v>27.796501115636623</v>
      </c>
      <c r="N135" s="306">
        <f>G55</f>
        <v>47.198457610555877</v>
      </c>
      <c r="O135" s="306">
        <f>H55</f>
        <v>88.064391052805149</v>
      </c>
      <c r="P135" s="306">
        <f>I55+I72</f>
        <v>13788.25433914325</v>
      </c>
      <c r="Q135" s="280"/>
    </row>
    <row r="136" spans="1:17" ht="16" customHeight="1">
      <c r="A136" s="8"/>
      <c r="B136" s="280"/>
      <c r="C136" s="280"/>
      <c r="D136" s="280"/>
      <c r="E136" s="280"/>
      <c r="F136" s="280"/>
      <c r="G136" s="280"/>
      <c r="H136" s="280"/>
      <c r="I136" s="280"/>
      <c r="J136" s="280"/>
      <c r="K136" s="280"/>
      <c r="L136" s="306">
        <f t="shared" si="9"/>
        <v>-1500</v>
      </c>
      <c r="M136" s="306">
        <f>F55</f>
        <v>27.796501115636623</v>
      </c>
      <c r="N136" s="306">
        <f>G55</f>
        <v>47.198457610555877</v>
      </c>
      <c r="O136" s="306">
        <f>H55</f>
        <v>88.064391052805149</v>
      </c>
      <c r="P136" s="306">
        <f>I55+I73</f>
        <v>17230.856726343249</v>
      </c>
      <c r="Q136" s="280"/>
    </row>
    <row r="137" spans="1:17" ht="16" customHeight="1">
      <c r="A137" s="8"/>
      <c r="B137" s="280"/>
      <c r="C137" s="280"/>
      <c r="D137" s="280"/>
      <c r="E137" s="280"/>
      <c r="F137" s="280"/>
      <c r="G137" s="280"/>
      <c r="H137" s="280"/>
      <c r="I137" s="280"/>
      <c r="J137" s="280"/>
      <c r="K137" s="280"/>
      <c r="L137" s="306">
        <f t="shared" si="9"/>
        <v>-1500</v>
      </c>
      <c r="M137" s="306">
        <f>F55</f>
        <v>27.796501115636623</v>
      </c>
      <c r="N137" s="306">
        <f>G55</f>
        <v>47.198457610555877</v>
      </c>
      <c r="O137" s="306">
        <f>H55</f>
        <v>88.064391052805149</v>
      </c>
      <c r="P137" s="306">
        <f>I55+I74</f>
        <v>20673.459113543249</v>
      </c>
      <c r="Q137" s="280"/>
    </row>
    <row r="138" spans="1:17" ht="16" customHeight="1">
      <c r="A138" s="8"/>
      <c r="B138" s="280"/>
      <c r="C138" s="280"/>
      <c r="D138" s="280"/>
      <c r="E138" s="280"/>
      <c r="F138" s="280"/>
      <c r="G138" s="280"/>
      <c r="H138" s="280"/>
      <c r="I138" s="280"/>
      <c r="J138" s="280"/>
      <c r="K138" s="280"/>
      <c r="L138" s="306">
        <f t="shared" si="9"/>
        <v>-1500</v>
      </c>
      <c r="M138" s="306">
        <f>F55</f>
        <v>27.796501115636623</v>
      </c>
      <c r="N138" s="306">
        <f>G55</f>
        <v>47.198457610555877</v>
      </c>
      <c r="O138" s="306">
        <f>H55</f>
        <v>88.064391052805149</v>
      </c>
      <c r="P138" s="306">
        <f>I55+I75</f>
        <v>24116.06150074325</v>
      </c>
      <c r="Q138" s="280"/>
    </row>
    <row r="139" spans="1:17" ht="16" customHeight="1">
      <c r="A139" s="8"/>
      <c r="B139" s="280"/>
      <c r="C139" s="280"/>
      <c r="D139" s="280"/>
      <c r="E139" s="280"/>
      <c r="F139" s="280"/>
      <c r="G139" s="280"/>
      <c r="H139" s="280"/>
      <c r="I139" s="280"/>
      <c r="J139" s="280"/>
      <c r="K139" s="280"/>
      <c r="L139" s="306">
        <f t="shared" si="9"/>
        <v>-1500</v>
      </c>
      <c r="M139" s="306">
        <f>F55</f>
        <v>27.796501115636623</v>
      </c>
      <c r="N139" s="306">
        <f>G55</f>
        <v>47.198457610555877</v>
      </c>
      <c r="O139" s="306">
        <f>H55</f>
        <v>88.064391052805149</v>
      </c>
      <c r="P139" s="306">
        <f>I55+I76</f>
        <v>27558.66388794325</v>
      </c>
      <c r="Q139" s="280"/>
    </row>
    <row r="140" spans="1:17" ht="16" customHeight="1">
      <c r="A140" s="8"/>
      <c r="B140" s="280"/>
      <c r="C140" s="280"/>
      <c r="D140" s="280"/>
      <c r="E140" s="280"/>
      <c r="F140" s="280"/>
      <c r="G140" s="280"/>
      <c r="H140" s="280"/>
      <c r="I140" s="280"/>
      <c r="J140" s="280"/>
      <c r="K140" s="280"/>
      <c r="L140" s="306">
        <f t="shared" si="9"/>
        <v>-1500</v>
      </c>
      <c r="M140" s="306">
        <f>F55</f>
        <v>27.796501115636623</v>
      </c>
      <c r="N140" s="306">
        <f>G55</f>
        <v>47.198457610555877</v>
      </c>
      <c r="O140" s="306">
        <f>H55</f>
        <v>88.064391052805149</v>
      </c>
      <c r="P140" s="306">
        <f>I55+I77</f>
        <v>31001.266275143251</v>
      </c>
      <c r="Q140" s="280"/>
    </row>
    <row r="141" spans="1:17" ht="16" customHeight="1">
      <c r="A141" s="8"/>
      <c r="B141" s="280"/>
      <c r="C141" s="280"/>
      <c r="D141" s="280"/>
      <c r="E141" s="280"/>
      <c r="F141" s="280"/>
      <c r="G141" s="280"/>
      <c r="H141" s="280"/>
      <c r="I141" s="280"/>
      <c r="J141" s="280"/>
      <c r="K141" s="280"/>
      <c r="L141" s="280"/>
      <c r="M141" s="280"/>
      <c r="N141" s="280"/>
      <c r="O141" s="280"/>
      <c r="P141" s="280"/>
      <c r="Q141" s="280"/>
    </row>
    <row r="142" spans="1:17" ht="16" customHeight="1">
      <c r="A142" s="8"/>
      <c r="B142" s="280"/>
      <c r="C142" s="280"/>
      <c r="D142" s="280"/>
      <c r="E142" s="280"/>
      <c r="F142" s="280"/>
      <c r="G142" s="280"/>
      <c r="H142" s="280"/>
      <c r="I142" s="280"/>
      <c r="J142" s="280"/>
      <c r="K142" s="280"/>
      <c r="L142" s="112" t="s">
        <v>668</v>
      </c>
      <c r="M142" s="280"/>
      <c r="N142" s="280"/>
      <c r="O142" s="280"/>
      <c r="P142" s="280"/>
      <c r="Q142" s="280"/>
    </row>
    <row r="143" spans="1:17" ht="16" customHeight="1">
      <c r="A143" s="8"/>
      <c r="B143" s="280"/>
      <c r="C143" s="280"/>
      <c r="D143" s="280"/>
      <c r="E143" s="280"/>
      <c r="F143" s="280"/>
      <c r="G143" s="280"/>
      <c r="H143" s="280"/>
      <c r="I143" s="280"/>
      <c r="J143" s="280"/>
      <c r="K143" s="280"/>
      <c r="L143" s="306">
        <f t="shared" ref="L143:L150" si="10">-$B$50</f>
        <v>-1500</v>
      </c>
      <c r="M143" s="306">
        <f>F55</f>
        <v>27.796501115636623</v>
      </c>
      <c r="N143" s="306">
        <f>G55</f>
        <v>47.198457610555877</v>
      </c>
      <c r="O143" s="306">
        <f>H55</f>
        <v>88.064391052805149</v>
      </c>
      <c r="P143" s="306">
        <f>I55</f>
        <v>132.25870333985279</v>
      </c>
      <c r="Q143" s="306">
        <f>J55+J70</f>
        <v>10574.727113312279</v>
      </c>
    </row>
    <row r="144" spans="1:17" ht="16" customHeight="1">
      <c r="A144" s="8"/>
      <c r="B144" s="280"/>
      <c r="C144" s="280"/>
      <c r="D144" s="280"/>
      <c r="E144" s="280"/>
      <c r="F144" s="280"/>
      <c r="G144" s="280"/>
      <c r="H144" s="280"/>
      <c r="I144" s="280"/>
      <c r="J144" s="280"/>
      <c r="K144" s="280"/>
      <c r="L144" s="306">
        <f t="shared" si="10"/>
        <v>-1500</v>
      </c>
      <c r="M144" s="306">
        <f>F55</f>
        <v>27.796501115636623</v>
      </c>
      <c r="N144" s="306">
        <f>G55</f>
        <v>47.198457610555877</v>
      </c>
      <c r="O144" s="306">
        <f>H55</f>
        <v>88.064391052805149</v>
      </c>
      <c r="P144" s="306">
        <f>I55</f>
        <v>132.25870333985279</v>
      </c>
      <c r="Q144" s="306">
        <f>J55+J71</f>
        <v>14910.801036000279</v>
      </c>
    </row>
    <row r="145" spans="1:17" ht="16" customHeight="1">
      <c r="A145" s="8"/>
      <c r="B145" s="280"/>
      <c r="C145" s="280"/>
      <c r="D145" s="280"/>
      <c r="E145" s="280"/>
      <c r="F145" s="280"/>
      <c r="G145" s="280"/>
      <c r="H145" s="280"/>
      <c r="I145" s="280"/>
      <c r="J145" s="280"/>
      <c r="K145" s="280"/>
      <c r="L145" s="306">
        <f t="shared" si="10"/>
        <v>-1500</v>
      </c>
      <c r="M145" s="306">
        <f>F55</f>
        <v>27.796501115636623</v>
      </c>
      <c r="N145" s="306">
        <f>G55</f>
        <v>47.198457610555877</v>
      </c>
      <c r="O145" s="306">
        <f>H55</f>
        <v>88.064391052805149</v>
      </c>
      <c r="P145" s="306">
        <f>I55</f>
        <v>132.25870333985279</v>
      </c>
      <c r="Q145" s="306">
        <f>J55+J72</f>
        <v>19246.87495868828</v>
      </c>
    </row>
    <row r="146" spans="1:17" ht="16" customHeight="1">
      <c r="A146" s="8"/>
      <c r="B146" s="280"/>
      <c r="C146" s="280"/>
      <c r="D146" s="280"/>
      <c r="E146" s="280"/>
      <c r="F146" s="280"/>
      <c r="G146" s="280"/>
      <c r="H146" s="280"/>
      <c r="I146" s="280"/>
      <c r="J146" s="280"/>
      <c r="K146" s="280"/>
      <c r="L146" s="306">
        <f t="shared" si="10"/>
        <v>-1500</v>
      </c>
      <c r="M146" s="306">
        <f>F55</f>
        <v>27.796501115636623</v>
      </c>
      <c r="N146" s="306">
        <f>G55</f>
        <v>47.198457610555877</v>
      </c>
      <c r="O146" s="306">
        <f>H55</f>
        <v>88.064391052805149</v>
      </c>
      <c r="P146" s="306">
        <f>I55</f>
        <v>132.25870333985279</v>
      </c>
      <c r="Q146" s="306">
        <f>J55+J73</f>
        <v>23582.94888137628</v>
      </c>
    </row>
    <row r="147" spans="1:17" ht="16" customHeight="1">
      <c r="A147" s="8"/>
      <c r="B147" s="280"/>
      <c r="C147" s="280"/>
      <c r="D147" s="280"/>
      <c r="E147" s="280"/>
      <c r="F147" s="280"/>
      <c r="G147" s="280"/>
      <c r="H147" s="280"/>
      <c r="I147" s="280"/>
      <c r="J147" s="280"/>
      <c r="K147" s="280"/>
      <c r="L147" s="306">
        <f t="shared" si="10"/>
        <v>-1500</v>
      </c>
      <c r="M147" s="306">
        <f>F55</f>
        <v>27.796501115636623</v>
      </c>
      <c r="N147" s="306">
        <f>G55</f>
        <v>47.198457610555877</v>
      </c>
      <c r="O147" s="306">
        <f>H55</f>
        <v>88.064391052805149</v>
      </c>
      <c r="P147" s="306">
        <f>I55</f>
        <v>132.25870333985279</v>
      </c>
      <c r="Q147" s="306">
        <f>J55+J74</f>
        <v>27919.02280406428</v>
      </c>
    </row>
    <row r="148" spans="1:17" ht="16" customHeight="1">
      <c r="A148" s="8"/>
      <c r="B148" s="280"/>
      <c r="C148" s="280"/>
      <c r="D148" s="280"/>
      <c r="E148" s="280"/>
      <c r="F148" s="280"/>
      <c r="G148" s="280"/>
      <c r="H148" s="280"/>
      <c r="I148" s="280"/>
      <c r="J148" s="280"/>
      <c r="K148" s="280"/>
      <c r="L148" s="306">
        <f t="shared" si="10"/>
        <v>-1500</v>
      </c>
      <c r="M148" s="306">
        <f>F55</f>
        <v>27.796501115636623</v>
      </c>
      <c r="N148" s="306">
        <f>G55</f>
        <v>47.198457610555877</v>
      </c>
      <c r="O148" s="306">
        <f>H55</f>
        <v>88.064391052805149</v>
      </c>
      <c r="P148" s="306">
        <f>I55</f>
        <v>132.25870333985279</v>
      </c>
      <c r="Q148" s="306">
        <f>J55+J75</f>
        <v>32255.096726752279</v>
      </c>
    </row>
    <row r="149" spans="1:17" ht="16" customHeight="1">
      <c r="A149" s="8"/>
      <c r="B149" s="280"/>
      <c r="C149" s="280"/>
      <c r="D149" s="280"/>
      <c r="E149" s="280"/>
      <c r="F149" s="280"/>
      <c r="G149" s="280"/>
      <c r="H149" s="280"/>
      <c r="I149" s="280"/>
      <c r="J149" s="280"/>
      <c r="K149" s="280"/>
      <c r="L149" s="306">
        <f t="shared" si="10"/>
        <v>-1500</v>
      </c>
      <c r="M149" s="306">
        <f>F55</f>
        <v>27.796501115636623</v>
      </c>
      <c r="N149" s="306">
        <f>G55</f>
        <v>47.198457610555877</v>
      </c>
      <c r="O149" s="306">
        <f>H55</f>
        <v>88.064391052805149</v>
      </c>
      <c r="P149" s="306">
        <f>I55</f>
        <v>132.25870333985279</v>
      </c>
      <c r="Q149" s="306">
        <f>J55+J76</f>
        <v>36591.170649440275</v>
      </c>
    </row>
    <row r="150" spans="1:17" ht="16" customHeight="1">
      <c r="A150" s="8"/>
      <c r="B150" s="280"/>
      <c r="C150" s="280"/>
      <c r="D150" s="280"/>
      <c r="E150" s="280"/>
      <c r="F150" s="280"/>
      <c r="G150" s="280"/>
      <c r="H150" s="280"/>
      <c r="I150" s="280"/>
      <c r="J150" s="280"/>
      <c r="K150" s="280"/>
      <c r="L150" s="306">
        <f t="shared" si="10"/>
        <v>-1500</v>
      </c>
      <c r="M150" s="306">
        <f>F55</f>
        <v>27.796501115636623</v>
      </c>
      <c r="N150" s="306">
        <f>G55</f>
        <v>47.198457610555877</v>
      </c>
      <c r="O150" s="306">
        <f>H55</f>
        <v>88.064391052805149</v>
      </c>
      <c r="P150" s="306">
        <f>I55</f>
        <v>132.25870333985279</v>
      </c>
      <c r="Q150" s="306">
        <f>J55+J77</f>
        <v>40927.244572128271</v>
      </c>
    </row>
    <row r="154" spans="1:17" ht="16" customHeight="1">
      <c r="A154" s="326" t="s">
        <v>669</v>
      </c>
    </row>
    <row r="155" spans="1:17" ht="16" customHeight="1">
      <c r="A155" s="330"/>
      <c r="B155" s="330"/>
      <c r="C155" s="330"/>
      <c r="D155" s="330"/>
      <c r="E155" s="330"/>
      <c r="F155" s="330"/>
    </row>
    <row r="156" spans="1:17" ht="16" customHeight="1">
      <c r="A156" s="508" t="s">
        <v>670</v>
      </c>
      <c r="B156" s="508">
        <v>0.01</v>
      </c>
      <c r="C156" s="508">
        <v>0.02</v>
      </c>
      <c r="D156" s="508">
        <f>Assumptions!B12</f>
        <v>2.5000000000000001E-2</v>
      </c>
      <c r="E156" s="508">
        <v>0.04</v>
      </c>
      <c r="F156" s="508">
        <v>0.05</v>
      </c>
    </row>
    <row r="157" spans="1:17" ht="16" customHeight="1">
      <c r="A157" s="508">
        <v>0.09</v>
      </c>
      <c r="B157" s="509">
        <f>ROUND(B$10/(1+$A157)^0.5+C$10/(1+$A157)^1.5+D$10/(1+$A157)^2.5+E$10/(1+$A157)^3.5+F$10/(1+$A157)^4.5+(F$10*(1+B$156)/($A157-B$156))/(1+$A157)^4.5+$B$26+$B$27,0)</f>
        <v>18934</v>
      </c>
      <c r="C157" s="509">
        <f>ROUND(B$10/(1+$A157)^0.5+C$10/(1+$A157)^1.5+D$10/(1+$A157)^2.5+E$10/(1+$A157)^3.5+F$10/(1+$A157)^4.5+(F$10*(1+C$156)/($A157-C$156))/(1+$A157)^4.5+$B$26+$B$27,0)</f>
        <v>21696</v>
      </c>
      <c r="D157" s="509">
        <f>ROUND(B$10/(1+$A157)^0.5+C$10/(1+$A157)^1.5+D$10/(1+$A157)^2.5+E$10/(1+$A157)^3.5+F$10/(1+$A157)^4.5+(F$10*(1+D$156)/($A157-D$156))/(1+$A157)^4.5+$B$26+$B$27,0)</f>
        <v>23396</v>
      </c>
      <c r="E157" s="509">
        <f>ROUND(B$10/(1+$A157)^0.5+C$10/(1+$A157)^1.5+D$10/(1+$A157)^2.5+E$10/(1+$A157)^3.5+F$10/(1+$A157)^4.5+(F$10*(1+E$156)/($A157-E$156))/(1+$A157)^4.5+$B$26+$B$27,0)</f>
        <v>30534</v>
      </c>
      <c r="F157" s="509">
        <f>ROUND(B$10/(1+$A157)^0.5+C$10/(1+$A157)^1.5+D$10/(1+$A157)^2.5+E$10/(1+$A157)^3.5+F$10/(1+$A157)^4.5+(F$10*(1+F$156)/($A157-F$156))/(1+$A157)^4.5+$B$26+$B$27,0)</f>
        <v>38268</v>
      </c>
    </row>
    <row r="158" spans="1:17" ht="16" customHeight="1">
      <c r="A158" s="508">
        <v>0.1</v>
      </c>
      <c r="B158" s="509">
        <f>ROUND(B$10/(1+$A158)^0.5+C$10/(1+$A158)^1.5+D$10/(1+$A158)^2.5+E$10/(1+$A158)^3.5+F$10/(1+$A158)^4.5+(F$10*(1+B$156)/($A158-B$156))/(1+$A158)^4.5+$B$26+$B$27,0)</f>
        <v>16194</v>
      </c>
      <c r="C158" s="509">
        <f>ROUND(B$10/(1+$A158)^0.5+C$10/(1+$A158)^1.5+D$10/(1+$A158)^2.5+E$10/(1+$A158)^3.5+F$10/(1+$A158)^4.5+(F$10*(1+C$156)/($A158-C$156))/(1+$A158)^4.5+$B$26+$B$27,0)</f>
        <v>18275</v>
      </c>
      <c r="D158" s="509">
        <f>ROUND(B$10/(1+$A158)^0.5+C$10/(1+$A158)^1.5+D$10/(1+$A158)^2.5+E$10/(1+$A158)^3.5+F$10/(1+$A158)^4.5+(F$10*(1+D$156)/($A158-D$156))/(1+$A158)^4.5+$B$26+$B$27,0)</f>
        <v>19523</v>
      </c>
      <c r="E158" s="509">
        <f>ROUND(B$10/(1+$A158)^0.5+C$10/(1+$A158)^1.5+D$10/(1+$A158)^2.5+E$10/(1+$A158)^3.5+F$10/(1+$A158)^4.5+(F$10*(1+E$156)/($A158-E$156))/(1+$A158)^4.5+$B$26+$B$27,0)</f>
        <v>24517</v>
      </c>
      <c r="F158" s="509">
        <f>ROUND(B$10/(1+$A158)^0.5+C$10/(1+$A158)^1.5+D$10/(1+$A158)^2.5+E$10/(1+$A158)^3.5+F$10/(1+$A158)^4.5+(F$10*(1+F$156)/($A158-F$156))/(1+$A158)^4.5+$B$26+$B$27,0)</f>
        <v>29510</v>
      </c>
    </row>
    <row r="159" spans="1:17" ht="16" customHeight="1">
      <c r="A159" s="508">
        <f>Assumptions!B11</f>
        <v>0.11147818387676381</v>
      </c>
      <c r="B159" s="509">
        <f>ROUND(B$10/(1+$A159)^0.5+C$10/(1+$A159)^1.5+D$10/(1+$A159)^2.5+E$10/(1+$A159)^3.5+F$10/(1+$A159)^4.5+(F$10*(1+B$156)/($A159-B$156))/(1+$A159)^4.5+$B$26+$B$27,0)</f>
        <v>13729</v>
      </c>
      <c r="C159" s="509">
        <f>ROUND(B$10/(1+$A159)^0.5+C$10/(1+$A159)^1.5+D$10/(1+$A159)^2.5+E$10/(1+$A159)^3.5+F$10/(1+$A159)^4.5+(F$10*(1+C$156)/($A159-C$156))/(1+$A159)^4.5+$B$26+$B$27,0)</f>
        <v>15285</v>
      </c>
      <c r="D159" s="510">
        <f>ROUND(B$10/(1+$A159)^0.5+C$10/(1+$A159)^1.5+D$10/(1+$A159)^2.5+E$10/(1+$A159)^3.5+F$10/(1+$A159)^4.5+(F$10*(1+D$156)/($A159-D$156))/(1+$A159)^4.5+$B$26+$B$27,0)</f>
        <v>16198</v>
      </c>
      <c r="E159" s="509">
        <f>ROUND(B$10/(1+$A159)^0.5+C$10/(1+$A159)^1.5+D$10/(1+$A159)^2.5+E$10/(1+$A159)^3.5+F$10/(1+$A159)^4.5+(F$10*(1+E$156)/($A159-E$156))/(1+$A159)^4.5+$B$26+$B$27,0)</f>
        <v>19703</v>
      </c>
      <c r="F159" s="509">
        <f>ROUND(B$10/(1+$A159)^0.5+C$10/(1+$A159)^1.5+D$10/(1+$A159)^2.5+E$10/(1+$A159)^3.5+F$10/(1+$A159)^4.5+(F$10*(1+F$156)/($A159-F$156))/(1+$A159)^4.5+$B$26+$B$27,0)</f>
        <v>22991</v>
      </c>
    </row>
    <row r="160" spans="1:17" ht="16" customHeight="1">
      <c r="A160" s="508">
        <v>0.12</v>
      </c>
      <c r="B160" s="509">
        <f>ROUND(B$10/(1+$A160)^0.5+C$10/(1+$A160)^1.5+D$10/(1+$A160)^2.5+E$10/(1+$A160)^3.5+F$10/(1+$A160)^4.5+(F$10*(1+B$156)/($A160-B$156))/(1+$A160)^4.5+$B$26+$B$27,0)</f>
        <v>12239</v>
      </c>
      <c r="C160" s="509">
        <f>ROUND(B$10/(1+$A160)^0.5+C$10/(1+$A160)^1.5+D$10/(1+$A160)^2.5+E$10/(1+$A160)^3.5+F$10/(1+$A160)^4.5+(F$10*(1+C$156)/($A160-C$156))/(1+$A160)^4.5+$B$26+$B$27,0)</f>
        <v>13518</v>
      </c>
      <c r="D160" s="509">
        <f>ROUND(B$10/(1+$A160)^0.5+C$10/(1+$A160)^1.5+D$10/(1+$A160)^2.5+E$10/(1+$A160)^3.5+F$10/(1+$A160)^4.5+(F$10*(1+D$156)/($A160-D$156))/(1+$A160)^4.5+$B$26+$B$27,0)</f>
        <v>14258</v>
      </c>
      <c r="E160" s="509">
        <f>ROUND(B$10/(1+$A160)^0.5+C$10/(1+$A160)^1.5+D$10/(1+$A160)^2.5+E$10/(1+$A160)^3.5+F$10/(1+$A160)^4.5+(F$10*(1+E$156)/($A160-E$156))/(1+$A160)^4.5+$B$26+$B$27,0)</f>
        <v>17034</v>
      </c>
      <c r="F160" s="509">
        <f>ROUND(B$10/(1+$A160)^0.5+C$10/(1+$A160)^1.5+D$10/(1+$A160)^2.5+E$10/(1+$A160)^3.5+F$10/(1+$A160)^4.5+(F$10*(1+F$156)/($A160-F$156))/(1+$A160)^4.5+$B$26+$B$27,0)</f>
        <v>19546</v>
      </c>
    </row>
    <row r="161" spans="1:6" ht="16" customHeight="1">
      <c r="A161" s="508">
        <v>0.14000000000000001</v>
      </c>
      <c r="B161" s="509">
        <f>ROUND(B$10/(1+$A161)^0.5+C$10/(1+$A161)^1.5+D$10/(1+$A161)^2.5+E$10/(1+$A161)^3.5+F$10/(1+$A161)^4.5+(F$10*(1+B$156)/($A161-B$156))/(1+$A161)^4.5+$B$26+$B$27,0)</f>
        <v>9533</v>
      </c>
      <c r="C161" s="509">
        <f>ROUND(B$10/(1+$A161)^0.5+C$10/(1+$A161)^1.5+D$10/(1+$A161)^2.5+E$10/(1+$A161)^3.5+F$10/(1+$A161)^4.5+(F$10*(1+C$156)/($A161-C$156))/(1+$A161)^4.5+$B$26+$B$27,0)</f>
        <v>10380</v>
      </c>
      <c r="D161" s="509">
        <f>ROUND(B$10/(1+$A161)^0.5+C$10/(1+$A161)^1.5+D$10/(1+$A161)^2.5+E$10/(1+$A161)^3.5+F$10/(1+$A161)^4.5+(F$10*(1+D$156)/($A161-D$156))/(1+$A161)^4.5+$B$26+$B$27,0)</f>
        <v>10859</v>
      </c>
      <c r="E161" s="509">
        <f>ROUND(B$10/(1+$A161)^0.5+C$10/(1+$A161)^1.5+D$10/(1+$A161)^2.5+E$10/(1+$A161)^3.5+F$10/(1+$A161)^4.5+(F$10*(1+E$156)/($A161-E$156))/(1+$A161)^4.5+$B$26+$B$27,0)</f>
        <v>12583</v>
      </c>
      <c r="F161" s="509">
        <f>ROUND(B$10/(1+$A161)^0.5+C$10/(1+$A161)^1.5+D$10/(1+$A161)^2.5+E$10/(1+$A161)^3.5+F$10/(1+$A161)^4.5+(F$10*(1+F$156)/($A161-F$156))/(1+$A161)^4.5+$B$26+$B$27,0)</f>
        <v>14052</v>
      </c>
    </row>
  </sheetData>
  <mergeCells count="1">
    <mergeCell ref="A1:G1"/>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Cover Page</vt:lpstr>
      <vt:lpstr>Assumptions</vt:lpstr>
      <vt:lpstr>Control Panel</vt:lpstr>
      <vt:lpstr>Revenue Build</vt:lpstr>
      <vt:lpstr>Income Statement</vt:lpstr>
      <vt:lpstr>Balance Sheet</vt:lpstr>
      <vt:lpstr>Cash Flow</vt:lpstr>
      <vt:lpstr>Debt Schedule</vt:lpstr>
      <vt:lpstr>DCF &amp; Returns</vt:lpstr>
      <vt:lpstr>Assumptions!Print_Area</vt:lpstr>
      <vt:lpstr>'Balance Sheet'!Print_Area</vt:lpstr>
      <vt:lpstr>'Cash Flow'!Print_Area</vt:lpstr>
      <vt:lpstr>'Control Panel'!Print_Area</vt:lpstr>
      <vt:lpstr>'Cover Page'!Print_Area</vt:lpstr>
      <vt:lpstr>'DCF &amp; Returns'!Print_Area</vt:lpstr>
      <vt:lpstr>'Debt Schedule'!Print_Area</vt:lpstr>
      <vt:lpstr>'Income Statement'!Print_Area</vt:lpstr>
      <vt:lpstr>'Revenue Build'!Print_Area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Walker Anderson</dc:creator>
  <cp:lastModifiedBy>Walker Anderson</cp:lastModifiedBy>
  <cp:revision>2</cp:revision>
  <dcterms:created xsi:type="dcterms:W3CDTF">2026-02-12T12:20:41Z</dcterms:created>
  <dcterms:modified xsi:type="dcterms:W3CDTF">2026-03-23T18:44:55Z</dcterms:modified>
  <dc:language>en-US</dc:language>
</cp:coreProperties>
</file>